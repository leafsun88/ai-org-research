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938a45b3b43b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shboard" sheetId="2" r:id="R5ecf61888e8d4b3b"/>
    <x:sheet xmlns:r="http://schemas.openxmlformats.org/officeDocument/2006/relationships" name="Assumptions" sheetId="3" r:id="R3515f988fd1a4663"/>
    <x:sheet xmlns:r="http://schemas.openxmlformats.org/officeDocument/2006/relationships" name="Income Statement" sheetId="4" r:id="R162dca5f9c274a48"/>
    <x:sheet xmlns:r="http://schemas.openxmlformats.org/officeDocument/2006/relationships" name="Balance Sheet" sheetId="5" r:id="Rc9604225fbb54f62"/>
    <x:sheet xmlns:r="http://schemas.openxmlformats.org/officeDocument/2006/relationships" name="Cash Flow" sheetId="6" r:id="R272382f357054213"/>
    <x:sheet xmlns:r="http://schemas.openxmlformats.org/officeDocument/2006/relationships" name="DCF Valuation" sheetId="7" r:id="Rc4577ce7a07e4df9"/>
    <x:sheet xmlns:r="http://schemas.openxmlformats.org/officeDocument/2006/relationships" name="Sensitivity" sheetId="8" r:id="R2d22556ae91a45ec"/>
    <x:sheet xmlns:r="http://schemas.openxmlformats.org/officeDocument/2006/relationships" name="Error Checks" sheetId="9" r:id="R66660a1034ed4ae8"/>
    <x:sheet xmlns:r="http://schemas.openxmlformats.org/officeDocument/2006/relationships" name="Sources" sheetId="10" r:id="Ra9ad5464d58444f8"/>
  </x:sheets>
  <x:calcPr fullCalcOnLoad="1" iterate="1"/>
</x:workbook>
</file>

<file path=xl/styles.xml><?xml version="1.0" encoding="utf-8"?>
<x:styleSheet xmlns:x="http://schemas.openxmlformats.org/spreadsheetml/2006/main">
  <x:numFmts count="6">
    <x:numFmt numFmtId="164" formatCode="0.0%"/>
    <x:numFmt numFmtId="165" formatCode="$#,##0"/>
    <x:numFmt numFmtId="166" formatCode="0.0x"/>
    <x:numFmt numFmtId="167" formatCode="$#,##0;($#,##0);-"/>
    <x:numFmt numFmtId="168" formatCode="0.000x"/>
    <x:numFmt numFmtId="169" formatCode="$#,##0.00;($#,##0.00);-"/>
  </x:numFmts>
  <x:fonts count="6">
    <x:font>
      <x:sz val="11"/>
      <x:name val="Calibri"/>
    </x:font>
    <x:font>
      <x:b/>
      <x:sz val="11"/>
      <x:color rgb="FFFFFFFF"/>
      <x:name val="Calibri"/>
    </x:font>
    <x:font>
      <x:b/>
      <x:sz val="11"/>
      <x:name val="Calibri"/>
    </x:font>
    <x:font>
      <x:sz val="11"/>
      <x:color rgb="FF0000FF"/>
      <x:name val="Calibri"/>
    </x:font>
    <x:font>
      <x:sz val="11"/>
      <x:color rgb="FF000000"/>
      <x:name val="Calibri"/>
    </x:font>
    <x:font>
      <x:sz val="11"/>
      <x:color rgb="FF008000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2F2F2"/>
      </x:patternFill>
    </x:fill>
    <x:fill>
      <x:patternFill patternType="solid">
        <x:fgColor rgb="FF70AD4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/>
    <x:xf numFmtId="0" fontId="1" fillId="2" borderId="0" applyFont="1" applyFill="1"/>
    <x:xf numFmtId="0" fontId="2" fillId="0" borderId="0" applyFont="1"/>
    <x:xf numFmtId="164" fontId="3" fillId="0" borderId="0" applyNumberFormat="1" applyFont="1"/>
    <x:xf numFmtId="165" fontId="3" fillId="0" borderId="0" applyNumberFormat="1" applyFont="1"/>
    <x:xf numFmtId="3" fontId="3" fillId="0" borderId="0" applyNumberFormat="1" applyFont="1"/>
    <x:xf numFmtId="166" fontId="3" fillId="0" borderId="0" applyNumberFormat="1" applyFont="1"/>
    <x:xf numFmtId="164" fontId="4" fillId="0" borderId="0" applyNumberFormat="1" applyFont="1"/>
    <x:xf numFmtId="0" fontId="0" fillId="3" borderId="0" applyFill="1"/>
    <x:xf numFmtId="167" fontId="4" fillId="0" borderId="0" applyNumberFormat="1" applyFont="1"/>
    <x:xf numFmtId="1" fontId="4" fillId="0" borderId="0" applyNumberFormat="1" applyFont="1"/>
    <x:xf numFmtId="0" fontId="4" fillId="0" borderId="0" applyFont="1"/>
    <x:xf numFmtId="167" fontId="5" fillId="0" borderId="0" applyNumberFormat="1" applyFont="1"/>
    <x:xf numFmtId="168" fontId="4" fillId="0" borderId="0" applyNumberFormat="1" applyFont="1"/>
    <x:xf numFmtId="169" fontId="4" fillId="0" borderId="0" applyNumberFormat="1" applyFont="1"/>
    <x:xf numFmtId="164" fontId="1" fillId="2" borderId="0" applyNumberFormat="1" applyFont="1" applyFill="1"/>
    <x:xf numFmtId="0" fontId="1" fillId="4" borderId="0" applyFont="1" applyFill="1"/>
    <x:xf numFmtId="169" fontId="5" fillId="0" borderId="0" applyNumberFormat="1" applyFont="1"/>
    <x:xf numFmtId="164" fontId="5" fillId="0" borderId="0" applyNumberFormat="1" applyFont="1"/>
    <x:xf numFmtId="0" fontId="5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2.xml" Id="R5ecf61888e8d4b3b" /><Relationship Type="http://schemas.openxmlformats.org/officeDocument/2006/relationships/worksheet" Target="/xl/worksheets/sheet3.xml" Id="R3515f988fd1a4663" /><Relationship Type="http://schemas.openxmlformats.org/officeDocument/2006/relationships/worksheet" Target="/xl/worksheets/sheet4.xml" Id="R162dca5f9c274a48" /><Relationship Type="http://schemas.openxmlformats.org/officeDocument/2006/relationships/worksheet" Target="/xl/worksheets/sheet5.xml" Id="Rc9604225fbb54f62" /><Relationship Type="http://schemas.openxmlformats.org/officeDocument/2006/relationships/worksheet" Target="/xl/worksheets/sheet6.xml" Id="R272382f357054213" /><Relationship Type="http://schemas.openxmlformats.org/officeDocument/2006/relationships/worksheet" Target="/xl/worksheets/sheet7.xml" Id="Rc4577ce7a07e4df9" /><Relationship Type="http://schemas.openxmlformats.org/officeDocument/2006/relationships/worksheet" Target="/xl/worksheets/sheet8.xml" Id="R2d22556ae91a45ec" /><Relationship Type="http://schemas.openxmlformats.org/officeDocument/2006/relationships/worksheet" Target="/xl/worksheets/sheet9.xml" Id="R66660a1034ed4ae8" /><Relationship Type="http://schemas.openxmlformats.org/officeDocument/2006/relationships/worksheet" Target="/xl/worksheets/sheet10.xml" Id="Ra9ad5464d58444f8" /><Relationship Type="http://schemas.openxmlformats.org/officeDocument/2006/relationships/styles" Target="/xl/styles.xml" Id="R24e97a0018d949db" /></Relationships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Data>
    <x:row r="1">
      <x:c r="A1" s="16" t="str">
        <x:v>SNDK OfficeCLI Financial Model</x:v>
      </x:c>
      <x:c r="B1" s="16" t="str">
        <x:v>Value</x:v>
      </x:c>
      <x:c r="C1" s="16" t="str">
        <x:v>Source</x:v>
      </x:c>
      <x:c r="D1" s="1" t="str">
        <x:v/>
      </x:c>
      <x:c r="E1" s="1" t="str">
        <x:v/>
      </x:c>
      <x:c r="F1" s="1" t="str">
        <x:v/>
      </x:c>
      <x:c r="G1" s="1" t="str">
        <x:v/>
      </x:c>
      <x:c r="H1" s="1" t="str">
        <x:v/>
      </x:c>
      <x:c r="I1" s="1" t="str">
        <x:v/>
      </x:c>
    </x:row>
    <x:row r="2">
      <x:c r="A2" s="2" t="str">
        <x:v>Company</x:v>
      </x:c>
      <x:c r="B2" t="str">
        <x:v>Sandisk</x:v>
      </x:c>
      <x:c r="C2" t="str">
        <x:v>target config</x:v>
      </x:c>
    </x:row>
    <x:row r="3">
      <x:c r="A3" s="2" t="str">
        <x:v>Ticker</x:v>
      </x:c>
      <x:c r="B3" t="str">
        <x:v>SNDK</x:v>
      </x:c>
      <x:c r="C3" t="str">
        <x:v>target config</x:v>
      </x:c>
    </x:row>
    <x:row r="4">
      <x:c r="A4" s="0" t="str">
        <x:v>Latest Revenue</x:v>
      </x:c>
      <x:c r="B4" s="12">
        <x:f>'Income Statement'!D3</x:f>
        <x:v>7355000000</x:v>
      </x:c>
      <x:c r="C4" t="str">
        <x:v>Income Statement</x:v>
      </x:c>
    </x:row>
    <x:row r="5">
      <x:c r="A5" s="0" t="str">
        <x:v>Latest Net Income</x:v>
      </x:c>
      <x:c r="B5" s="12">
        <x:f>'Income Statement'!D7</x:f>
        <x:v>-1377000000</x:v>
      </x:c>
      <x:c r="C5" t="str">
        <x:v>Income Statement</x:v>
      </x:c>
    </x:row>
    <x:row r="6">
      <x:c r="A6" s="0" t="str">
        <x:v>Y5 Revenue</x:v>
      </x:c>
      <x:c r="B6" s="12">
        <x:f>'Income Statement'!I3</x:f>
        <x:v>9387050892.1875</x:v>
      </x:c>
      <x:c r="C6" t="str">
        <x:v>Income Statement</x:v>
      </x:c>
    </x:row>
    <x:row r="7">
      <x:c r="A7" s="0" t="str">
        <x:v>DCF Enterprise Value</x:v>
      </x:c>
      <x:c r="B7" s="12">
        <x:f>'DCF Valuation'!B10</x:f>
        <x:v>10070485777.822</x:v>
      </x:c>
      <x:c r="C7" t="str">
        <x:v>DCF Valuation</x:v>
      </x:c>
    </x:row>
    <x:row r="8">
      <x:c r="A8" s="0" t="str">
        <x:v>DCF Equity Value</x:v>
      </x:c>
      <x:c r="B8" s="12">
        <x:f>'DCF Valuation'!B11</x:f>
        <x:v>9702485777.82197</x:v>
      </x:c>
      <x:c r="C8" t="str">
        <x:v>DCF Valuation</x:v>
      </x:c>
    </x:row>
    <x:row r="9">
      <x:c r="A9" s="0" t="str">
        <x:v>DCF Implied Price</x:v>
      </x:c>
      <x:c r="B9" s="17">
        <x:f>'DCF Valuation'!B12</x:f>
        <x:v>66.9136950194619</x:v>
      </x:c>
      <x:c r="C9" t="str">
        <x:v>DCF Valuation</x:v>
      </x:c>
    </x:row>
    <x:row r="10">
      <x:c r="A10" s="0" t="str">
        <x:v>Terminal Value Share</x:v>
      </x:c>
      <x:c r="B10" s="18">
        <x:f>'DCF Valuation'!B13</x:f>
        <x:v>0.791945685845054</x:v>
      </x:c>
      <x:c r="C10" t="str">
        <x:v>DCF Valuation</x:v>
      </x:c>
    </x:row>
    <x:row r="11">
      <x:c r="A11" s="2" t="str">
        <x:v>Model Status</x:v>
      </x:c>
      <x:c r="B11" s="19" t="str">
        <x:v>ALL CLEAR</x:v>
      </x:c>
      <x:c r="C11" t="str">
        <x:v>Error Checks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s="1" t="str">
        <x:v>SNDK Financial Model Assumptions</x:v>
      </x:c>
      <x:c r="B1" s="1" t="str">
        <x:v>2023A</x:v>
      </x:c>
      <x:c r="C1" s="1" t="str">
        <x:v>2024A</x:v>
      </x:c>
      <x:c r="D1" s="1" t="str">
        <x:v>2025A</x:v>
      </x:c>
      <x:c r="E1" s="1" t="str">
        <x:v>Y1</x:v>
      </x:c>
      <x:c r="F1" s="1" t="str">
        <x:v>Y2</x:v>
      </x:c>
      <x:c r="G1" s="1" t="str">
        <x:v>Y3</x:v>
      </x:c>
      <x:c r="H1" s="1" t="str">
        <x:v>Y4</x:v>
      </x:c>
      <x:c r="I1" s="1" t="str">
        <x:v>Y5</x:v>
      </x:c>
    </x:row>
    <x:row r="2">
      <x:c r="A2" s="2" t="str">
        <x:v>Revenue Growth</x:v>
      </x:c>
      <x:c r="B2" s="3" t="str">
        <x:v/>
      </x:c>
      <x:c r="C2" s="3">
        <x:v>0.09480775550443643</x:v>
      </x:c>
      <x:c r="D2" s="3">
        <x:v>0.10385712141677916</x:v>
      </x:c>
      <x:c r="E2" s="3">
        <x:v>0.05</x:v>
      </x:c>
      <x:c r="F2" s="3">
        <x:v>0.05</x:v>
      </x:c>
      <x:c r="G2" s="3">
        <x:v>0.05</x:v>
      </x:c>
      <x:c r="H2" s="3">
        <x:v>0.05</x:v>
      </x:c>
      <x:c r="I2" s="3">
        <x:v>0.05</x:v>
      </x:c>
    </x:row>
    <x:row r="3">
      <x:c r="A3" s="0" t="str">
        <x:v>Revenue</x:v>
      </x:c>
      <x:c r="B3" s="4">
        <x:v>6086000000</x:v>
      </x:c>
      <x:c r="C3" s="4">
        <x:v>6663000000</x:v>
      </x:c>
      <x:c r="D3" s="4">
        <x:v>7355000000</x:v>
      </x:c>
      <x:c r="E3" s="4" t="str">
        <x:v/>
      </x:c>
      <x:c r="F3" s="4" t="str">
        <x:v/>
      </x:c>
      <x:c r="G3" s="4" t="str">
        <x:v/>
      </x:c>
      <x:c r="H3" s="4" t="str">
        <x:v/>
      </x:c>
      <x:c r="I3" s="4" t="str">
        <x:v/>
      </x:c>
    </x:row>
    <x:row r="4">
      <x:c r="A4" s="0" t="str">
        <x:v>Gross Margin</x:v>
      </x:c>
      <x:c r="B4" s="3">
        <x:v>0.07065395990798554</x:v>
      </x:c>
      <x:c r="C4" s="3">
        <x:v>0.16088848866876782</x:v>
      </x:c>
      <x:c r="D4" s="3">
        <x:v>0.3007477906186268</x:v>
      </x:c>
      <x:c r="E4" s="3">
        <x:v>0.3</x:v>
      </x:c>
      <x:c r="F4" s="3">
        <x:v>0.32</x:v>
      </x:c>
      <x:c r="G4" s="3">
        <x:v>0.34</x:v>
      </x:c>
      <x:c r="H4" s="3">
        <x:v>0.35</x:v>
      </x:c>
      <x:c r="I4" s="3">
        <x:v>0.36</x:v>
      </x:c>
    </x:row>
    <x:row r="5">
      <x:c r="A5" s="0" t="str">
        <x:v>Operating Margin</x:v>
      </x:c>
      <x:c r="B5" s="3">
        <x:v>-0.33437397305290834</x:v>
      </x:c>
      <x:c r="C5" s="3">
        <x:v>-0.07023863124718595</x:v>
      </x:c>
      <x:c r="D5" s="3">
        <x:v>-0.18721957851801496</x:v>
      </x:c>
      <x:c r="E5" s="3">
        <x:v>0.12</x:v>
      </x:c>
      <x:c r="F5" s="3">
        <x:v>0.14</x:v>
      </x:c>
      <x:c r="G5" s="3">
        <x:v>0.16</x:v>
      </x:c>
      <x:c r="H5" s="3">
        <x:v>0.17</x:v>
      </x:c>
      <x:c r="I5" s="3">
        <x:v>0.18</x:v>
      </x:c>
    </x:row>
    <x:row r="6">
      <x:c r="A6" s="0" t="str">
        <x:v>Tax Rate</x:v>
      </x:c>
      <x:c r="B6" s="3">
        <x:v>0.21</x:v>
      </x:c>
      <x:c r="C6" s="3">
        <x:v>0.21</x:v>
      </x:c>
      <x:c r="D6" s="3">
        <x:v>0.21</x:v>
      </x:c>
      <x:c r="E6" s="3">
        <x:v>0.21</x:v>
      </x:c>
      <x:c r="F6" s="3">
        <x:v>0.21</x:v>
      </x:c>
      <x:c r="G6" s="3">
        <x:v>0.21</x:v>
      </x:c>
      <x:c r="H6" s="3">
        <x:v>0.21</x:v>
      </x:c>
      <x:c r="I6" s="3">
        <x:v>0.21</x:v>
      </x:c>
    </x:row>
    <x:row r="7">
      <x:c r="A7" s="0" t="str">
        <x:v>D&amp;A % Revenue</x:v>
      </x:c>
      <x:c r="B7" s="3">
        <x:v>0.04</x:v>
      </x:c>
      <x:c r="C7" s="3">
        <x:v>0.04</x:v>
      </x:c>
      <x:c r="D7" s="3">
        <x:v>0.04</x:v>
      </x:c>
      <x:c r="E7" s="3">
        <x:v>0.04</x:v>
      </x:c>
      <x:c r="F7" s="3">
        <x:v>0.04</x:v>
      </x:c>
      <x:c r="G7" s="3">
        <x:v>0.04</x:v>
      </x:c>
      <x:c r="H7" s="3">
        <x:v>0.04</x:v>
      </x:c>
      <x:c r="I7" s="3">
        <x:v>0.04</x:v>
      </x:c>
    </x:row>
    <x:row r="8">
      <x:c r="A8" s="0" t="str">
        <x:v>Capex % Revenue</x:v>
      </x:c>
      <x:c r="B8" s="3">
        <x:v>0.035984226092671705</x:v>
      </x:c>
      <x:c r="C8" s="3">
        <x:v>0.024913702536395018</x:v>
      </x:c>
      <x:c r="D8" s="3">
        <x:v>0.027736233854520734</x:v>
      </x:c>
      <x:c r="E8" s="3">
        <x:v>0.08</x:v>
      </x:c>
      <x:c r="F8" s="3">
        <x:v>0.08</x:v>
      </x:c>
      <x:c r="G8" s="3">
        <x:v>0.075</x:v>
      </x:c>
      <x:c r="H8" s="3">
        <x:v>0.07</x:v>
      </x:c>
      <x:c r="I8" s="3">
        <x:v>0.07</x:v>
      </x:c>
    </x:row>
    <x:row r="9">
      <x:c r="A9" s="0" t="str">
        <x:v>NWC % Revenue</x:v>
      </x:c>
      <x:c r="B9" s="3">
        <x:v>0.02</x:v>
      </x:c>
      <x:c r="C9" s="3">
        <x:v>0.02</x:v>
      </x:c>
      <x:c r="D9" s="3">
        <x:v>0.02</x:v>
      </x:c>
      <x:c r="E9" s="3">
        <x:v>0.02</x:v>
      </x:c>
      <x:c r="F9" s="3">
        <x:v>0.02</x:v>
      </x:c>
      <x:c r="G9" s="3">
        <x:v>0.02</x:v>
      </x:c>
      <x:c r="H9" s="3">
        <x:v>0.02</x:v>
      </x:c>
      <x:c r="I9" s="3">
        <x:v>0.02</x:v>
      </x:c>
    </x:row>
    <x:row r="10">
      <x:c r="A10" s="0" t="str">
        <x:v>Cash</x:v>
      </x:c>
      <x:c r="B10" s="4">
        <x:v>292000000</x:v>
      </x:c>
      <x:c r="C10" s="4">
        <x:v>328000000</x:v>
      </x:c>
      <x:c r="D10" s="4">
        <x:v>1481000000</x:v>
      </x:c>
      <x:c r="E10" s="4" t="str">
        <x:v/>
      </x:c>
      <x:c r="F10" s="4" t="str">
        <x:v/>
      </x:c>
      <x:c r="G10" s="4" t="str">
        <x:v/>
      </x:c>
      <x:c r="H10" s="4" t="str">
        <x:v/>
      </x:c>
      <x:c r="I10" s="4" t="str">
        <x:v/>
      </x:c>
    </x:row>
    <x:row r="11">
      <x:c r="A11" s="0" t="str">
        <x:v>Debt</x:v>
      </x:c>
      <x:c r="B11" s="4">
        <x:v>1849000000.0</x:v>
      </x:c>
      <x:c r="C11" s="4">
        <x:v>1849000000.0</x:v>
      </x:c>
      <x:c r="D11" s="4">
        <x:v>1849000000.0</x:v>
      </x:c>
      <x:c r="E11" s="4">
        <x:v>1849000000.0</x:v>
      </x:c>
      <x:c r="F11" s="4">
        <x:v>1849000000.0</x:v>
      </x:c>
      <x:c r="G11" s="4">
        <x:v>1849000000.0</x:v>
      </x:c>
      <x:c r="H11" s="4">
        <x:v>1849000000.0</x:v>
      </x:c>
      <x:c r="I11" s="4">
        <x:v>1849000000.0</x:v>
      </x:c>
    </x:row>
    <x:row r="12">
      <x:c r="A12" s="0" t="str">
        <x:v>Diluted Shares</x:v>
      </x:c>
      <x:c r="B12" s="5">
        <x:v>145000000</x:v>
      </x:c>
      <x:c r="C12" s="5">
        <x:v>145000000</x:v>
      </x:c>
      <x:c r="D12" s="5">
        <x:v>145000000</x:v>
      </x:c>
      <x:c r="E12" s="5">
        <x:v>147600000.0</x:v>
      </x:c>
      <x:c r="F12" s="5">
        <x:v>147600000.0</x:v>
      </x:c>
      <x:c r="G12" s="5">
        <x:v>147600000.0</x:v>
      </x:c>
      <x:c r="H12" s="5">
        <x:v>147600000.0</x:v>
      </x:c>
      <x:c r="I12" s="5">
        <x:v>147600000.0</x:v>
      </x:c>
    </x:row>
    <x:row r="13">
      <x:c r="A13" s="0" t="str">
        <x:v>Equity</x:v>
      </x:c>
      <x:c r="B13" s="4">
        <x:v>11439000000</x:v>
      </x:c>
      <x:c r="C13" s="4">
        <x:v>11082000000</x:v>
      </x:c>
      <x:c r="D13" s="4">
        <x:v>9216000000</x:v>
      </x:c>
      <x:c r="E13" s="4" t="str">
        <x:v/>
      </x:c>
      <x:c r="F13" s="4" t="str">
        <x:v/>
      </x:c>
      <x:c r="G13" s="4" t="str">
        <x:v/>
      </x:c>
      <x:c r="H13" s="4" t="str">
        <x:v/>
      </x:c>
      <x:c r="I13" s="4" t="str">
        <x:v/>
      </x:c>
    </x:row>
    <x:row r="15">
      <x:c r="A15" s="2" t="str">
        <x:v>Risk-free Rate</x:v>
      </x:c>
      <x:c r="B15" s="3" t="str">
        <x:v/>
      </x:c>
      <x:c r="C15" s="3" t="str">
        <x:v/>
      </x:c>
      <x:c r="D15" s="3">
        <x:v>0.04</x:v>
      </x:c>
      <x:c r="E15" s="3">
        <x:v>0.04</x:v>
      </x:c>
      <x:c r="F15" s="3">
        <x:v>0.04</x:v>
      </x:c>
      <x:c r="G15" s="3">
        <x:v>0.04</x:v>
      </x:c>
      <x:c r="H15" s="3">
        <x:v>0.04</x:v>
      </x:c>
      <x:c r="I15" s="3">
        <x:v>0.04</x:v>
      </x:c>
    </x:row>
    <x:row r="16">
      <x:c r="A16" s="0" t="str">
        <x:v>Equity Risk Premium</x:v>
      </x:c>
      <x:c r="B16" s="3" t="str">
        <x:v/>
      </x:c>
      <x:c r="C16" s="3" t="str">
        <x:v/>
      </x:c>
      <x:c r="D16" s="3">
        <x:v>0.055</x:v>
      </x:c>
      <x:c r="E16" s="3">
        <x:v>0.055</x:v>
      </x:c>
      <x:c r="F16" s="3">
        <x:v>0.055</x:v>
      </x:c>
      <x:c r="G16" s="3">
        <x:v>0.055</x:v>
      </x:c>
      <x:c r="H16" s="3">
        <x:v>0.055</x:v>
      </x:c>
      <x:c r="I16" s="3">
        <x:v>0.055</x:v>
      </x:c>
    </x:row>
    <x:row r="17">
      <x:c r="A17" s="0" t="str">
        <x:v>Beta</x:v>
      </x:c>
      <x:c r="B17" s="6" t="str">
        <x:v/>
      </x:c>
      <x:c r="C17" s="6" t="str">
        <x:v/>
      </x:c>
      <x:c r="D17" s="6">
        <x:v>1.25</x:v>
      </x:c>
      <x:c r="E17" s="6">
        <x:v>1.25</x:v>
      </x:c>
      <x:c r="F17" s="6">
        <x:v>1.25</x:v>
      </x:c>
      <x:c r="G17" s="6">
        <x:v>1.25</x:v>
      </x:c>
      <x:c r="H17" s="6">
        <x:v>1.25</x:v>
      </x:c>
      <x:c r="I17" s="6">
        <x:v>1.25</x:v>
      </x:c>
    </x:row>
    <x:row r="18">
      <x:c r="A18" s="0" t="str">
        <x:v>Pre-tax Cost of Debt</x:v>
      </x:c>
      <x:c r="B18" s="3" t="str">
        <x:v/>
      </x:c>
      <x:c r="C18" s="3" t="str">
        <x:v/>
      </x:c>
      <x:c r="D18" s="3">
        <x:v>0.06</x:v>
      </x:c>
      <x:c r="E18" s="3">
        <x:v>0.06</x:v>
      </x:c>
      <x:c r="F18" s="3">
        <x:v>0.06</x:v>
      </x:c>
      <x:c r="G18" s="3">
        <x:v>0.06</x:v>
      </x:c>
      <x:c r="H18" s="3">
        <x:v>0.06</x:v>
      </x:c>
      <x:c r="I18" s="3">
        <x:v>0.06</x:v>
      </x:c>
    </x:row>
    <x:row r="19">
      <x:c r="A19" s="0" t="str">
        <x:v>Target Debt Weight</x:v>
      </x:c>
      <x:c r="B19" s="3" t="str">
        <x:v/>
      </x:c>
      <x:c r="C19" s="3" t="str">
        <x:v/>
      </x:c>
      <x:c r="D19" s="3">
        <x:v>0.15</x:v>
      </x:c>
      <x:c r="E19" s="3">
        <x:v>0.15</x:v>
      </x:c>
      <x:c r="F19" s="3">
        <x:v>0.15</x:v>
      </x:c>
      <x:c r="G19" s="3">
        <x:v>0.15</x:v>
      </x:c>
      <x:c r="H19" s="3">
        <x:v>0.15</x:v>
      </x:c>
      <x:c r="I19" s="3">
        <x:v>0.15</x:v>
      </x:c>
    </x:row>
    <x:row r="20">
      <x:c r="A20" s="0" t="str">
        <x:v>Terminal Growth</x:v>
      </x:c>
      <x:c r="B20" s="3" t="str">
        <x:v/>
      </x:c>
      <x:c r="C20" s="3" t="str">
        <x:v/>
      </x:c>
      <x:c r="D20" s="3">
        <x:v>0.03</x:v>
      </x:c>
      <x:c r="E20" s="3">
        <x:v>0.03</x:v>
      </x:c>
      <x:c r="F20" s="3">
        <x:v>0.03</x:v>
      </x:c>
      <x:c r="G20" s="3">
        <x:v>0.03</x:v>
      </x:c>
      <x:c r="H20" s="3">
        <x:v>0.03</x:v>
      </x:c>
      <x:c r="I20" s="3">
        <x:v>0.03</x:v>
      </x:c>
    </x:row>
    <x:row r="21">
      <x:c r="A21" s="0" t="str">
        <x:v>WACC</x:v>
      </x:c>
      <x:c r="B21" s="3" t="str">
        <x:v/>
      </x:c>
      <x:c r="C21" s="3" t="str">
        <x:v/>
      </x:c>
      <x:c r="D21" s="7">
        <x:f>Assumptions!D19*(Assumptions!D18*(1-Assumptions!D6))+(1-Assumptions!D19)*(Assumptions!D15+Assumptions!D17*Assumptions!D16)</x:f>
        <x:v>0.09954750000000001</x:v>
      </x:c>
      <x:c r="E21" s="7">
        <x:f>Assumptions!E19*(Assumptions!E18*(1-Assumptions!E6))+(1-Assumptions!E19)*(Assumptions!E15+Assumptions!E17*Assumptions!E16)</x:f>
        <x:v>0.09954750000000001</x:v>
      </x:c>
      <x:c r="F21" s="7">
        <x:f>Assumptions!F19*(Assumptions!F18*(1-Assumptions!F6))+(1-Assumptions!F19)*(Assumptions!F15+Assumptions!F17*Assumptions!F16)</x:f>
        <x:v>0.09954750000000001</x:v>
      </x:c>
      <x:c r="G21" s="7">
        <x:f>Assumptions!G19*(Assumptions!G18*(1-Assumptions!G6))+(1-Assumptions!G19)*(Assumptions!G15+Assumptions!G17*Assumptions!G16)</x:f>
        <x:v>0.09954750000000001</x:v>
      </x:c>
      <x:c r="H21" s="7">
        <x:f>Assumptions!H19*(Assumptions!H18*(1-Assumptions!H6))+(1-Assumptions!H19)*(Assumptions!H15+Assumptions!H17*Assumptions!H16)</x:f>
        <x:v>0.09954750000000001</x:v>
      </x:c>
      <x:c r="I21" s="7">
        <x:f>Assumptions!I19*(Assumptions!I18*(1-Assumptions!I6))+(1-Assumptions!I19)*(Assumptions!I15+Assumptions!I17*Assumptions!I16)</x:f>
        <x:v>0.09954750000000001</x:v>
      </x:c>
    </x:row>
    <x:row r="24">
      <x:c r="A24" s="1" t="str">
        <x:v>Source</x:v>
      </x:c>
      <x:c r="B24" s="8" t="str">
        <x:v>SNDK public_company vault; SEC companyfacts-derived statements; public market fallback</x:v>
      </x:c>
    </x:row>
  </x:sheetData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Data>
    <x:row r="1">
      <x:c r="A1" s="1" t="str">
        <x:v>Income Statement</x:v>
      </x:c>
      <x:c r="B1" s="1" t="str">
        <x:v>2023A</x:v>
      </x:c>
      <x:c r="C1" s="1" t="str">
        <x:v>2024A</x:v>
      </x:c>
      <x:c r="D1" s="1" t="str">
        <x:v>2025A</x:v>
      </x:c>
      <x:c r="E1" s="1" t="str">
        <x:v>Y1</x:v>
      </x:c>
      <x:c r="F1" s="1" t="str">
        <x:v>Y2</x:v>
      </x:c>
      <x:c r="G1" s="1" t="str">
        <x:v>Y3</x:v>
      </x:c>
      <x:c r="H1" s="1" t="str">
        <x:v>Y4</x:v>
      </x:c>
      <x:c r="I1" s="1" t="str">
        <x:v>Y5</x:v>
      </x:c>
    </x:row>
    <x:row r="3">
      <x:c r="A3" s="0" t="str">
        <x:v>Revenue</x:v>
      </x:c>
      <x:c r="B3" s="9">
        <x:f>Assumptions!B3</x:f>
        <x:v>6086000000</x:v>
      </x:c>
      <x:c r="C3" s="9">
        <x:f>Assumptions!C3</x:f>
        <x:v>6663000000</x:v>
      </x:c>
      <x:c r="D3" s="9">
        <x:f>Assumptions!D3</x:f>
        <x:v>7355000000</x:v>
      </x:c>
      <x:c r="E3" s="9">
        <x:f>'Income Statement'!D3*(1+Assumptions!E2)</x:f>
        <x:v>7722750000</x:v>
      </x:c>
      <x:c r="F3" s="9">
        <x:f>'Income Statement'!E3*(1+Assumptions!F2)</x:f>
        <x:v>8108887500</x:v>
      </x:c>
      <x:c r="G3" s="9">
        <x:f>'Income Statement'!F3*(1+Assumptions!G2)</x:f>
        <x:v>8514331875</x:v>
      </x:c>
      <x:c r="H3" s="9">
        <x:f>'Income Statement'!G3*(1+Assumptions!H2)</x:f>
        <x:v>8940048468.75</x:v>
      </x:c>
      <x:c r="I3" s="9">
        <x:f>'Income Statement'!H3*(1+Assumptions!I2)</x:f>
        <x:v>9387050892.1875</x:v>
      </x:c>
    </x:row>
    <x:row r="4">
      <x:c r="A4" s="0" t="str">
        <x:v>Gross Profit</x:v>
      </x:c>
      <x:c r="B4" s="9">
        <x:f>'Income Statement'!B3*Assumptions!B4</x:f>
        <x:v>430000000</x:v>
      </x:c>
      <x:c r="C4" s="9">
        <x:f>'Income Statement'!C3*Assumptions!C4</x:f>
        <x:v>1072000000</x:v>
      </x:c>
      <x:c r="D4" s="9">
        <x:f>'Income Statement'!D3*Assumptions!D4</x:f>
        <x:v>2212000000</x:v>
      </x:c>
      <x:c r="E4" s="9">
        <x:f>'Income Statement'!E3*Assumptions!E4</x:f>
        <x:v>2316825000</x:v>
      </x:c>
      <x:c r="F4" s="9">
        <x:f>'Income Statement'!F3*Assumptions!F4</x:f>
        <x:v>2594844000</x:v>
      </x:c>
      <x:c r="G4" s="9">
        <x:f>'Income Statement'!G3*Assumptions!G4</x:f>
        <x:v>2894872837.5</x:v>
      </x:c>
      <x:c r="H4" s="9">
        <x:f>'Income Statement'!H3*Assumptions!H4</x:f>
        <x:v>3129016964.0625</x:v>
      </x:c>
      <x:c r="I4" s="9">
        <x:f>'Income Statement'!I3*Assumptions!I4</x:f>
        <x:v>3379338321.1875</x:v>
      </x:c>
    </x:row>
    <x:row r="5">
      <x:c r="A5" s="0" t="str">
        <x:v>Operating Income</x:v>
      </x:c>
      <x:c r="B5" s="9">
        <x:f>'Income Statement'!B3*Assumptions!B5</x:f>
        <x:v>-2035000000</x:v>
      </x:c>
      <x:c r="C5" s="9">
        <x:f>'Income Statement'!C3*Assumptions!C5</x:f>
        <x:v>-468000000</x:v>
      </x:c>
      <x:c r="D5" s="9">
        <x:f>'Income Statement'!D3*Assumptions!D5</x:f>
        <x:v>-1377000000</x:v>
      </x:c>
      <x:c r="E5" s="9">
        <x:f>'Income Statement'!E3*Assumptions!E5</x:f>
        <x:v>926730000</x:v>
      </x:c>
      <x:c r="F5" s="9">
        <x:f>'Income Statement'!F3*Assumptions!F5</x:f>
        <x:v>1135244250</x:v>
      </x:c>
      <x:c r="G5" s="9">
        <x:f>'Income Statement'!G3*Assumptions!G5</x:f>
        <x:v>1362293100</x:v>
      </x:c>
      <x:c r="H5" s="9">
        <x:f>'Income Statement'!H3*Assumptions!H5</x:f>
        <x:v>1519808239.6875</x:v>
      </x:c>
      <x:c r="I5" s="9">
        <x:f>'Income Statement'!I3*Assumptions!I5</x:f>
        <x:v>1689669160.59375</x:v>
      </x:c>
    </x:row>
    <x:row r="6">
      <x:c r="A6" s="0" t="str">
        <x:v>Tax Expense</x:v>
      </x:c>
      <x:c r="B6" s="9">
        <x:f>MAX(0,'Income Statement'!B5*Assumptions!B6)</x:f>
        <x:v>0</x:v>
      </x:c>
      <x:c r="C6" s="9">
        <x:f>MAX(0,'Income Statement'!C5*Assumptions!C6)</x:f>
        <x:v>0</x:v>
      </x:c>
      <x:c r="D6" s="9">
        <x:f>MAX(0,'Income Statement'!D5*Assumptions!D6)</x:f>
        <x:v>0</x:v>
      </x:c>
      <x:c r="E6" s="9">
        <x:f>MAX(0,'Income Statement'!E5*Assumptions!E6)</x:f>
        <x:v>194613300</x:v>
      </x:c>
      <x:c r="F6" s="9">
        <x:f>MAX(0,'Income Statement'!F5*Assumptions!F6)</x:f>
        <x:v>238401292.5</x:v>
      </x:c>
      <x:c r="G6" s="9">
        <x:f>MAX(0,'Income Statement'!G5*Assumptions!G6)</x:f>
        <x:v>286081551</x:v>
      </x:c>
      <x:c r="H6" s="9">
        <x:f>MAX(0,'Income Statement'!H5*Assumptions!H6)</x:f>
        <x:v>319159730.334375</x:v>
      </x:c>
      <x:c r="I6" s="9">
        <x:f>MAX(0,'Income Statement'!I5*Assumptions!I6)</x:f>
        <x:v>354830523.724687</x:v>
      </x:c>
    </x:row>
    <x:row r="7">
      <x:c r="A7" s="2" t="str">
        <x:v>Net Income</x:v>
      </x:c>
      <x:c r="B7" s="9">
        <x:f>'Income Statement'!B5-'Income Statement'!B6</x:f>
        <x:v>-2035000000</x:v>
      </x:c>
      <x:c r="C7" s="9">
        <x:f>'Income Statement'!C5-'Income Statement'!C6</x:f>
        <x:v>-468000000</x:v>
      </x:c>
      <x:c r="D7" s="9">
        <x:f>'Income Statement'!D5-'Income Statement'!D6</x:f>
        <x:v>-1377000000</x:v>
      </x:c>
      <x:c r="E7" s="9">
        <x:f>'Income Statement'!E5-'Income Statement'!E6</x:f>
        <x:v>732116700</x:v>
      </x:c>
      <x:c r="F7" s="9">
        <x:f>'Income Statement'!F5-'Income Statement'!F6</x:f>
        <x:v>896842957.5</x:v>
      </x:c>
      <x:c r="G7" s="9">
        <x:f>'Income Statement'!G5-'Income Statement'!G6</x:f>
        <x:v>1076211549</x:v>
      </x:c>
      <x:c r="H7" s="9">
        <x:f>'Income Statement'!H5-'Income Statement'!H6</x:f>
        <x:v>1200648509.35313</x:v>
      </x:c>
      <x:c r="I7" s="9">
        <x:f>'Income Statement'!I5-'Income Statement'!I6</x:f>
        <x:v>1334838636.86906</x:v>
      </x:c>
    </x:row>
  </x:sheetData>
</x:worksheet>
</file>

<file path=xl/worksheets/sheet5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Data>
    <x:row r="1">
      <x:c r="A1" s="1" t="str">
        <x:v>Balance Sheet</x:v>
      </x:c>
      <x:c r="B1" s="1" t="str">
        <x:v>2023A</x:v>
      </x:c>
      <x:c r="C1" s="1" t="str">
        <x:v>2024A</x:v>
      </x:c>
      <x:c r="D1" s="1" t="str">
        <x:v>2025A</x:v>
      </x:c>
      <x:c r="E1" s="1" t="str">
        <x:v>Y1</x:v>
      </x:c>
      <x:c r="F1" s="1" t="str">
        <x:v>Y2</x:v>
      </x:c>
      <x:c r="G1" s="1" t="str">
        <x:v>Y3</x:v>
      </x:c>
      <x:c r="H1" s="1" t="str">
        <x:v>Y4</x:v>
      </x:c>
      <x:c r="I1" s="1" t="str">
        <x:v>Y5</x:v>
      </x:c>
    </x:row>
    <x:row r="3">
      <x:c r="A3" s="0" t="str">
        <x:v>Cash</x:v>
      </x:c>
      <x:c r="B3" s="9">
        <x:f>'Cash Flow'!B11</x:f>
        <x:v>292000000</x:v>
      </x:c>
      <x:c r="C3" s="9">
        <x:f>'Cash Flow'!C11</x:f>
        <x:v>328000000</x:v>
      </x:c>
      <x:c r="D3" s="9">
        <x:f>'Cash Flow'!D11</x:f>
        <x:v>1481000000</x:v>
      </x:c>
      <x:c r="E3" s="9">
        <x:f>'Cash Flow'!E11</x:f>
        <x:v>1749751700</x:v>
      </x:c>
      <x:c r="F3" s="9">
        <x:f>'Cash Flow'!F11</x:f>
        <x:v>2160061407.5</x:v>
      </x:c>
      <x:c r="G3" s="9">
        <x:f>'Cash Flow'!G11</x:f>
        <x:v>2767984703.375</x:v>
      </x:c>
      <x:c r="H3" s="9">
        <x:f>'Cash Flow'!H11</x:f>
        <x:v>3521630789.29062</x:v>
      </x:c>
      <x:c r="I3" s="9">
        <x:f>'Cash Flow'!I11</x:f>
        <x:v>4387116881.55031</x:v>
      </x:c>
    </x:row>
    <x:row r="4">
      <x:c r="A4" s="0" t="str">
        <x:v>Debt</x:v>
      </x:c>
      <x:c r="B4" s="9">
        <x:f>Assumptions!B11</x:f>
        <x:v>1849000000</x:v>
      </x:c>
      <x:c r="C4" s="9">
        <x:f>Assumptions!C11</x:f>
        <x:v>1849000000</x:v>
      </x:c>
      <x:c r="D4" s="9">
        <x:f>Assumptions!D11</x:f>
        <x:v>1849000000</x:v>
      </x:c>
      <x:c r="E4" s="9">
        <x:f>Assumptions!E11</x:f>
        <x:v>1849000000</x:v>
      </x:c>
      <x:c r="F4" s="9">
        <x:f>Assumptions!F11</x:f>
        <x:v>1849000000</x:v>
      </x:c>
      <x:c r="G4" s="9">
        <x:f>Assumptions!G11</x:f>
        <x:v>1849000000</x:v>
      </x:c>
      <x:c r="H4" s="9">
        <x:f>Assumptions!H11</x:f>
        <x:v>1849000000</x:v>
      </x:c>
      <x:c r="I4" s="9">
        <x:f>Assumptions!I11</x:f>
        <x:v>1849000000</x:v>
      </x:c>
    </x:row>
    <x:row r="5">
      <x:c r="A5" s="0" t="str">
        <x:v>Stockholders Equity</x:v>
      </x:c>
      <x:c r="B5" s="9">
        <x:f>Assumptions!B13</x:f>
        <x:v>11439000000</x:v>
      </x:c>
      <x:c r="C5" s="9">
        <x:f>Assumptions!C13</x:f>
        <x:v>11082000000</x:v>
      </x:c>
      <x:c r="D5" s="9">
        <x:f>Assumptions!D13</x:f>
        <x:v>9216000000</x:v>
      </x:c>
      <x:c r="E5" s="9">
        <x:f>'Balance Sheet'!D5+'Income Statement'!E7</x:f>
        <x:v>9948116700</x:v>
      </x:c>
      <x:c r="F5" s="9">
        <x:f>'Balance Sheet'!E5+'Income Statement'!F7</x:f>
        <x:v>10844959657.5</x:v>
      </x:c>
      <x:c r="G5" s="9">
        <x:f>'Balance Sheet'!F5+'Income Statement'!G7</x:f>
        <x:v>11921171206.5</x:v>
      </x:c>
      <x:c r="H5" s="9">
        <x:f>'Balance Sheet'!G5+'Income Statement'!H7</x:f>
        <x:v>13121819715.8531</x:v>
      </x:c>
      <x:c r="I5" s="9">
        <x:f>'Balance Sheet'!H5+'Income Statement'!I7</x:f>
        <x:v>14456658352.7222</x:v>
      </x:c>
    </x:row>
    <x:row r="6">
      <x:c r="A6" s="0" t="str">
        <x:v>Operating Assets Plug</x:v>
      </x:c>
      <x:c r="B6" s="9">
        <x:f>'Balance Sheet'!B4+'Balance Sheet'!B5-'Balance Sheet'!B3</x:f>
        <x:v>12996000000</x:v>
      </x:c>
      <x:c r="C6" s="9">
        <x:f>'Balance Sheet'!C4+'Balance Sheet'!C5-'Balance Sheet'!C3</x:f>
        <x:v>12603000000</x:v>
      </x:c>
      <x:c r="D6" s="9">
        <x:f>'Balance Sheet'!D4+'Balance Sheet'!D5-'Balance Sheet'!D3</x:f>
        <x:v>9584000000</x:v>
      </x:c>
      <x:c r="E6" s="9">
        <x:f>'Balance Sheet'!E4+'Balance Sheet'!E5-'Balance Sheet'!E3</x:f>
        <x:v>10047365000</x:v>
      </x:c>
      <x:c r="F6" s="9">
        <x:f>'Balance Sheet'!F4+'Balance Sheet'!F5-'Balance Sheet'!F3</x:f>
        <x:v>10533898250</x:v>
      </x:c>
      <x:c r="G6" s="9">
        <x:f>'Balance Sheet'!G4+'Balance Sheet'!G5-'Balance Sheet'!G3</x:f>
        <x:v>11002186503.125</x:v>
      </x:c>
      <x:c r="H6" s="9">
        <x:f>'Balance Sheet'!H4+'Balance Sheet'!H5-'Balance Sheet'!H3</x:f>
        <x:v>11449188926.5625</x:v>
      </x:c>
      <x:c r="I6" s="9">
        <x:f>'Balance Sheet'!I4+'Balance Sheet'!I5-'Balance Sheet'!I3</x:f>
        <x:v>11918541471.1719</x:v>
      </x:c>
    </x:row>
    <x:row r="7">
      <x:c r="A7" s="2" t="str">
        <x:v>Total Assets</x:v>
      </x:c>
      <x:c r="B7" s="9">
        <x:f>'Balance Sheet'!B3+'Balance Sheet'!B6</x:f>
        <x:v>13288000000</x:v>
      </x:c>
      <x:c r="C7" s="9">
        <x:f>'Balance Sheet'!C3+'Balance Sheet'!C6</x:f>
        <x:v>12931000000</x:v>
      </x:c>
      <x:c r="D7" s="9">
        <x:f>'Balance Sheet'!D3+'Balance Sheet'!D6</x:f>
        <x:v>11065000000</x:v>
      </x:c>
      <x:c r="E7" s="9">
        <x:f>'Balance Sheet'!E3+'Balance Sheet'!E6</x:f>
        <x:v>11797116700</x:v>
      </x:c>
      <x:c r="F7" s="9">
        <x:f>'Balance Sheet'!F3+'Balance Sheet'!F6</x:f>
        <x:v>12693959657.5</x:v>
      </x:c>
      <x:c r="G7" s="9">
        <x:f>'Balance Sheet'!G3+'Balance Sheet'!G6</x:f>
        <x:v>13770171206.5</x:v>
      </x:c>
      <x:c r="H7" s="9">
        <x:f>'Balance Sheet'!H3+'Balance Sheet'!H6</x:f>
        <x:v>14970819715.8531</x:v>
      </x:c>
      <x:c r="I7" s="9">
        <x:f>'Balance Sheet'!I3+'Balance Sheet'!I6</x:f>
        <x:v>16305658352.7222</x:v>
      </x:c>
    </x:row>
    <x:row r="8">
      <x:c r="A8" s="2" t="str">
        <x:v>Balance Check</x:v>
      </x:c>
      <x:c r="B8" s="10">
        <x:f>'Balance Sheet'!B7-'Balance Sheet'!B4-'Balance Sheet'!B5</x:f>
        <x:v>0</x:v>
      </x:c>
      <x:c r="C8" s="10">
        <x:f>'Balance Sheet'!C7-'Balance Sheet'!C4-'Balance Sheet'!C5</x:f>
        <x:v>0</x:v>
      </x:c>
      <x:c r="D8" s="10">
        <x:f>'Balance Sheet'!D7-'Balance Sheet'!D4-'Balance Sheet'!D5</x:f>
        <x:v>0</x:v>
      </x:c>
      <x:c r="E8" s="10">
        <x:f>'Balance Sheet'!E7-'Balance Sheet'!E4-'Balance Sheet'!E5</x:f>
        <x:v>0</x:v>
      </x:c>
      <x:c r="F8" s="10">
        <x:f>'Balance Sheet'!F7-'Balance Sheet'!F4-'Balance Sheet'!F5</x:f>
        <x:v>0</x:v>
      </x:c>
      <x:c r="G8" s="10">
        <x:f>'Balance Sheet'!G7-'Balance Sheet'!G4-'Balance Sheet'!G5</x:f>
        <x:v>0</x:v>
      </x:c>
      <x:c r="H8" s="10">
        <x:f>'Balance Sheet'!H7-'Balance Sheet'!H4-'Balance Sheet'!H5</x:f>
        <x:v>0</x:v>
      </x:c>
      <x:c r="I8" s="10">
        <x:f>'Balance Sheet'!I7-'Balance Sheet'!I4-'Balance Sheet'!I5</x:f>
        <x:v>0</x:v>
      </x:c>
    </x:row>
  </x:sheetData>
</x:worksheet>
</file>

<file path=xl/worksheets/sheet6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Data>
    <x:row r="1">
      <x:c r="A1" s="1" t="str">
        <x:v>Cash Flow</x:v>
      </x:c>
      <x:c r="B1" s="1" t="str">
        <x:v>2023A</x:v>
      </x:c>
      <x:c r="C1" s="1" t="str">
        <x:v>2024A</x:v>
      </x:c>
      <x:c r="D1" s="1" t="str">
        <x:v>2025A</x:v>
      </x:c>
      <x:c r="E1" s="1" t="str">
        <x:v>Y1</x:v>
      </x:c>
      <x:c r="F1" s="1" t="str">
        <x:v>Y2</x:v>
      </x:c>
      <x:c r="G1" s="1" t="str">
        <x:v>Y3</x:v>
      </x:c>
      <x:c r="H1" s="1" t="str">
        <x:v>Y4</x:v>
      </x:c>
      <x:c r="I1" s="1" t="str">
        <x:v>Y5</x:v>
      </x:c>
    </x:row>
    <x:row r="3">
      <x:c r="A3" s="0" t="str">
        <x:v>Net Income</x:v>
      </x:c>
      <x:c r="B3" s="9">
        <x:f>'Income Statement'!B7</x:f>
        <x:v>-2035000000</x:v>
      </x:c>
      <x:c r="C3" s="9">
        <x:f>'Income Statement'!C7</x:f>
        <x:v>-468000000</x:v>
      </x:c>
      <x:c r="D3" s="9">
        <x:f>'Income Statement'!D7</x:f>
        <x:v>-1377000000</x:v>
      </x:c>
      <x:c r="E3" s="9">
        <x:f>'Income Statement'!E7</x:f>
        <x:v>732116700</x:v>
      </x:c>
      <x:c r="F3" s="9">
        <x:f>'Income Statement'!F7</x:f>
        <x:v>896842957.5</x:v>
      </x:c>
      <x:c r="G3" s="9">
        <x:f>'Income Statement'!G7</x:f>
        <x:v>1076211549</x:v>
      </x:c>
      <x:c r="H3" s="9">
        <x:f>'Income Statement'!H7</x:f>
        <x:v>1200648509.35313</x:v>
      </x:c>
      <x:c r="I3" s="9">
        <x:f>'Income Statement'!I7</x:f>
        <x:v>1334838636.86906</x:v>
      </x:c>
    </x:row>
    <x:row r="4">
      <x:c r="A4" s="0" t="str">
        <x:v>D&amp;A</x:v>
      </x:c>
      <x:c r="B4" s="9">
        <x:f>'Income Statement'!B3*Assumptions!B7</x:f>
        <x:v>243440000</x:v>
      </x:c>
      <x:c r="C4" s="9">
        <x:f>'Income Statement'!C3*Assumptions!C7</x:f>
        <x:v>266520000</x:v>
      </x:c>
      <x:c r="D4" s="9">
        <x:f>'Income Statement'!D3*Assumptions!D7</x:f>
        <x:v>294200000</x:v>
      </x:c>
      <x:c r="E4" s="9">
        <x:f>'Income Statement'!E3*Assumptions!E7</x:f>
        <x:v>308910000</x:v>
      </x:c>
      <x:c r="F4" s="9">
        <x:f>'Income Statement'!F3*Assumptions!F7</x:f>
        <x:v>324355500</x:v>
      </x:c>
      <x:c r="G4" s="9">
        <x:f>'Income Statement'!G3*Assumptions!G7</x:f>
        <x:v>340573275</x:v>
      </x:c>
      <x:c r="H4" s="9">
        <x:f>'Income Statement'!H3*Assumptions!H7</x:f>
        <x:v>357601938.75</x:v>
      </x:c>
      <x:c r="I4" s="9">
        <x:f>'Income Statement'!I3*Assumptions!I7</x:f>
        <x:v>375482035.6875</x:v>
      </x:c>
    </x:row>
    <x:row r="5">
      <x:c r="A5" s="0" t="str">
        <x:v>Capex</x:v>
      </x:c>
      <x:c r="B5" s="9">
        <x:f>-'Income Statement'!B3*Assumptions!B8</x:f>
        <x:v>-219000000</x:v>
      </x:c>
      <x:c r="C5" s="9">
        <x:f>-'Income Statement'!C3*Assumptions!C8</x:f>
        <x:v>-166000000</x:v>
      </x:c>
      <x:c r="D5" s="9">
        <x:f>-'Income Statement'!D3*Assumptions!D8</x:f>
        <x:v>-204000000</x:v>
      </x:c>
      <x:c r="E5" s="9">
        <x:f>-'Income Statement'!E3*Assumptions!E8</x:f>
        <x:v>-617820000</x:v>
      </x:c>
      <x:c r="F5" s="9">
        <x:f>-'Income Statement'!F3*Assumptions!F8</x:f>
        <x:v>-648711000</x:v>
      </x:c>
      <x:c r="G5" s="9">
        <x:f>-'Income Statement'!G3*Assumptions!G8</x:f>
        <x:v>-638574890.625</x:v>
      </x:c>
      <x:c r="H5" s="9">
        <x:f>-'Income Statement'!H3*Assumptions!H8</x:f>
        <x:v>-625803392.8125</x:v>
      </x:c>
      <x:c r="I5" s="9">
        <x:f>-'Income Statement'!I3*Assumptions!I8</x:f>
        <x:v>-657093562.453125</x:v>
      </x:c>
    </x:row>
    <x:row r="6">
      <x:c r="A6" s="0" t="str">
        <x:v>Change in NWC</x:v>
      </x:c>
      <x:c r="B6" s="9">
        <x:f>-'Income Statement'!B3*Assumptions!B9</x:f>
        <x:v>-121720000</x:v>
      </x:c>
      <x:c r="C6" s="9">
        <x:f>-'Income Statement'!C3*Assumptions!C9</x:f>
        <x:v>-133260000</x:v>
      </x:c>
      <x:c r="D6" s="9">
        <x:f>-'Income Statement'!D3*Assumptions!D9</x:f>
        <x:v>-147100000</x:v>
      </x:c>
      <x:c r="E6" s="9">
        <x:f>-'Income Statement'!E3*Assumptions!E9</x:f>
        <x:v>-154455000</x:v>
      </x:c>
      <x:c r="F6" s="9">
        <x:f>-'Income Statement'!F3*Assumptions!F9</x:f>
        <x:v>-162177750</x:v>
      </x:c>
      <x:c r="G6" s="9">
        <x:f>-'Income Statement'!G3*Assumptions!G9</x:f>
        <x:v>-170286637.5</x:v>
      </x:c>
      <x:c r="H6" s="9">
        <x:f>-'Income Statement'!H3*Assumptions!H9</x:f>
        <x:v>-178800969.375</x:v>
      </x:c>
      <x:c r="I6" s="9">
        <x:f>-'Income Statement'!I3*Assumptions!I9</x:f>
        <x:v>-187741017.84375</x:v>
      </x:c>
    </x:row>
    <x:row r="8">
      <x:c r="A8" s="2" t="str">
        <x:v>Free Cash Flow</x:v>
      </x:c>
      <x:c r="B8" s="9">
        <x:f>'Cash Flow'!B3+'Cash Flow'!B4+'Cash Flow'!B5+'Cash Flow'!B6</x:f>
        <x:v>-2132280000</x:v>
      </x:c>
      <x:c r="C8" s="9">
        <x:f>'Cash Flow'!C3+'Cash Flow'!C4+'Cash Flow'!C5+'Cash Flow'!C6</x:f>
        <x:v>-500740000</x:v>
      </x:c>
      <x:c r="D8" s="9">
        <x:f>'Cash Flow'!D3+'Cash Flow'!D4+'Cash Flow'!D5+'Cash Flow'!D6</x:f>
        <x:v>-1433900000</x:v>
      </x:c>
      <x:c r="E8" s="9">
        <x:f>'Cash Flow'!E3+'Cash Flow'!E4+'Cash Flow'!E5+'Cash Flow'!E6</x:f>
        <x:v>268751700</x:v>
      </x:c>
      <x:c r="F8" s="9">
        <x:f>'Cash Flow'!F3+'Cash Flow'!F4+'Cash Flow'!F5+'Cash Flow'!F6</x:f>
        <x:v>410309707.5</x:v>
      </x:c>
      <x:c r="G8" s="9">
        <x:f>'Cash Flow'!G3+'Cash Flow'!G4+'Cash Flow'!G5+'Cash Flow'!G6</x:f>
        <x:v>607923295.875</x:v>
      </x:c>
      <x:c r="H8" s="9">
        <x:f>'Cash Flow'!H3+'Cash Flow'!H4+'Cash Flow'!H5+'Cash Flow'!H6</x:f>
        <x:v>753646085.915625</x:v>
      </x:c>
      <x:c r="I8" s="9">
        <x:f>'Cash Flow'!I3+'Cash Flow'!I4+'Cash Flow'!I5+'Cash Flow'!I6</x:f>
        <x:v>865486092.259687</x:v>
      </x:c>
    </x:row>
    <x:row r="10">
      <x:c r="A10" s="0" t="str">
        <x:v>Beginning Cash</x:v>
      </x:c>
      <x:c r="B10" s="9">
        <x:f>Assumptions!B10</x:f>
        <x:v>292000000</x:v>
      </x:c>
      <x:c r="C10" s="9">
        <x:f>Assumptions!C10</x:f>
        <x:v>328000000</x:v>
      </x:c>
      <x:c r="D10" s="9">
        <x:f>Assumptions!D10</x:f>
        <x:v>1481000000</x:v>
      </x:c>
      <x:c r="E10" s="9">
        <x:f>'Cash Flow'!D11</x:f>
        <x:v>1481000000</x:v>
      </x:c>
      <x:c r="F10" s="9">
        <x:f>'Cash Flow'!E11</x:f>
        <x:v>1749751700</x:v>
      </x:c>
      <x:c r="G10" s="9">
        <x:f>'Cash Flow'!F11</x:f>
        <x:v>2160061407.5</x:v>
      </x:c>
      <x:c r="H10" s="9">
        <x:f>'Cash Flow'!G11</x:f>
        <x:v>2767984703.375</x:v>
      </x:c>
      <x:c r="I10" s="9">
        <x:f>'Cash Flow'!H11</x:f>
        <x:v>3521630789.29062</x:v>
      </x:c>
    </x:row>
    <x:row r="11">
      <x:c r="A11" s="2" t="str">
        <x:v>Ending Cash</x:v>
      </x:c>
      <x:c r="B11" s="9">
        <x:f>Assumptions!B10</x:f>
        <x:v>292000000</x:v>
      </x:c>
      <x:c r="C11" s="9">
        <x:f>Assumptions!C10</x:f>
        <x:v>328000000</x:v>
      </x:c>
      <x:c r="D11" s="9">
        <x:f>Assumptions!D10</x:f>
        <x:v>1481000000</x:v>
      </x:c>
      <x:c r="E11" s="9">
        <x:f>'Cash Flow'!E10+'Cash Flow'!E8</x:f>
        <x:v>1749751700</x:v>
      </x:c>
      <x:c r="F11" s="9">
        <x:f>'Cash Flow'!F10+'Cash Flow'!F8</x:f>
        <x:v>2160061407.5</x:v>
      </x:c>
      <x:c r="G11" s="9">
        <x:f>'Cash Flow'!G10+'Cash Flow'!G8</x:f>
        <x:v>2767984703.375</x:v>
      </x:c>
      <x:c r="H11" s="9">
        <x:f>'Cash Flow'!H10+'Cash Flow'!H8</x:f>
        <x:v>3521630789.29062</x:v>
      </x:c>
      <x:c r="I11" s="9">
        <x:f>'Cash Flow'!I10+'Cash Flow'!I8</x:f>
        <x:v>4387116881.55031</x:v>
      </x:c>
    </x:row>
    <x:row r="12">
      <x:c r="A12" s="2" t="str">
        <x:v>Cash Reconciliation</x:v>
      </x:c>
      <x:c r="B12" s="11" t="b">
        <x:f>'Cash Flow'!B11='Balance Sheet'!B3</x:f>
        <x:v>1</x:v>
      </x:c>
      <x:c r="C12" s="11" t="b">
        <x:f>'Cash Flow'!C11='Balance Sheet'!C3</x:f>
        <x:v>1</x:v>
      </x:c>
      <x:c r="D12" s="11" t="b">
        <x:f>'Cash Flow'!D11='Balance Sheet'!D3</x:f>
        <x:v>1</x:v>
      </x:c>
      <x:c r="E12" s="11" t="b">
        <x:f>'Cash Flow'!E11='Balance Sheet'!E3</x:f>
        <x:v>1</x:v>
      </x:c>
      <x:c r="F12" s="11" t="b">
        <x:f>'Cash Flow'!F11='Balance Sheet'!F3</x:f>
        <x:v>1</x:v>
      </x:c>
      <x:c r="G12" s="11" t="b">
        <x:f>'Cash Flow'!G11='Balance Sheet'!G3</x:f>
        <x:v>1</x:v>
      </x:c>
      <x:c r="H12" s="11" t="b">
        <x:f>'Cash Flow'!H11='Balance Sheet'!H3</x:f>
        <x:v>1</x:v>
      </x:c>
      <x:c r="I12" s="11" t="b">
        <x:f>'Cash Flow'!I11='Balance Sheet'!I3</x:f>
        <x:v>1</x:v>
      </x:c>
    </x:row>
  </x:sheetData>
</x:worksheet>
</file>

<file path=xl/worksheets/sheet7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Data>
    <x:row r="1">
      <x:c r="A1" s="1" t="str">
        <x:v>DCF Valuation</x:v>
      </x:c>
      <x:c r="B1" s="1" t="str">
        <x:v>Y1</x:v>
      </x:c>
      <x:c r="C1" s="1" t="str">
        <x:v>Y2</x:v>
      </x:c>
      <x:c r="D1" s="1" t="str">
        <x:v>Y3</x:v>
      </x:c>
      <x:c r="E1" s="1" t="str">
        <x:v>Y4</x:v>
      </x:c>
      <x:c r="F1" s="1" t="str">
        <x:v>Y5</x:v>
      </x:c>
      <x:c r="G1" s="1" t="str">
        <x:v/>
      </x:c>
      <x:c r="H1" s="1" t="str">
        <x:v/>
      </x:c>
      <x:c r="I1" s="1" t="str">
        <x:v/>
      </x:c>
    </x:row>
    <x:row r="3">
      <x:c r="A3" s="0" t="str">
        <x:v>Free Cash Flow</x:v>
      </x:c>
      <x:c r="B3" s="12">
        <x:f>'Cash Flow'!E8</x:f>
        <x:v>268751700</x:v>
      </x:c>
      <x:c r="C3" s="12">
        <x:f>'Cash Flow'!F8</x:f>
        <x:v>410309707.5</x:v>
      </x:c>
      <x:c r="D3" s="12">
        <x:f>'Cash Flow'!G8</x:f>
        <x:v>607923295.875</x:v>
      </x:c>
      <x:c r="E3" s="12">
        <x:f>'Cash Flow'!H8</x:f>
        <x:v>753646085.915625</x:v>
      </x:c>
      <x:c r="F3" s="12">
        <x:f>'Cash Flow'!I8</x:f>
        <x:v>865486092.259687</x:v>
      </x:c>
    </x:row>
    <x:row r="4">
      <x:c r="A4" s="0" t="str">
        <x:v>Discount Factor</x:v>
      </x:c>
      <x:c r="B4" s="13">
        <x:f>1/(1+Assumptions!E21)^1</x:f>
        <x:v>0.909465029932768</x:v>
      </x:c>
      <x:c r="C4" s="13">
        <x:f>1/(1+Assumptions!F21)^2</x:f>
        <x:v>0.82712664067061</x:v>
      </x:c>
      <x:c r="D4" s="13">
        <x:f>1/(1+Assumptions!G21)^3</x:f>
        <x:v>0.752242755015686</x:v>
      </x:c>
      <x:c r="E4" s="13">
        <x:f>1/(1+Assumptions!H21)^4</x:f>
        <x:v>0.684138479707049</x:v>
      </x:c>
      <x:c r="F4" s="13">
        <x:f>1/(1+Assumptions!I21)^5</x:f>
        <x:v>0.62220002292493</x:v>
      </x:c>
    </x:row>
    <x:row r="5">
      <x:c r="A5" s="0" t="str">
        <x:v>PV FCF</x:v>
      </x:c>
      <x:c r="B5" s="9">
        <x:f>'DCF Valuation'!B3*'DCF Valuation'!B4</x:f>
        <x:v>244420272.884982</x:v>
      </x:c>
      <x:c r="C5" s="9">
        <x:f>'DCF Valuation'!C3*'DCF Valuation'!C4</x:f>
        <x:v>339378089.999016</x:v>
      </x:c>
      <x:c r="D5" s="9">
        <x:f>'DCF Valuation'!D3*'DCF Valuation'!D4</x:f>
        <x:v>457305894.927226</x:v>
      </x:c>
      <x:c r="E5" s="9">
        <x:f>'DCF Valuation'!E3*'DCF Valuation'!E4</x:f>
        <x:v>515598287.455484</x:v>
      </x:c>
      <x:c r="F5" s="9">
        <x:f>'DCF Valuation'!F3*'DCF Valuation'!F4</x:f>
        <x:v>538505466.445185</x:v>
      </x:c>
    </x:row>
    <x:row r="7">
      <x:c r="A7" s="0" t="str">
        <x:v>Terminal Value</x:v>
      </x:c>
      <x:c r="B7" s="9">
        <x:f>'DCF Valuation'!F3*(1+Assumptions!I20)/(Assumptions!I21-Assumptions!I20)</x:f>
        <x:v>12817868004.2773</x:v>
      </x:c>
    </x:row>
    <x:row r="8">
      <x:c r="A8" s="0" t="str">
        <x:v>PV Terminal Value</x:v>
      </x:c>
      <x:c r="B8" s="9">
        <x:f>'DCF Valuation'!B7*'DCF Valuation'!F4</x:f>
        <x:v>7975277766.11008</x:v>
      </x:c>
    </x:row>
    <x:row r="10">
      <x:c r="A10" s="2" t="str">
        <x:v>Enterprise Value</x:v>
      </x:c>
      <x:c r="B10" s="9">
        <x:f>SUM('DCF Valuation'!B5:F5)+'DCF Valuation'!B8</x:f>
        <x:v>10070485777.822</x:v>
      </x:c>
    </x:row>
    <x:row r="11">
      <x:c r="A11" s="2" t="str">
        <x:v>Equity Value</x:v>
      </x:c>
      <x:c r="B11" s="9">
        <x:f>'DCF Valuation'!B10+'Balance Sheet'!D3-'Balance Sheet'!D4</x:f>
        <x:v>9702485777.82197</x:v>
      </x:c>
    </x:row>
    <x:row r="12">
      <x:c r="A12" s="2" t="str">
        <x:v>Implied Price</x:v>
      </x:c>
      <x:c r="B12" s="14">
        <x:f>'DCF Valuation'!B11/Assumptions!D12</x:f>
        <x:v>66.9136950194619</x:v>
      </x:c>
    </x:row>
    <x:row r="13">
      <x:c r="A13" s="0" t="str">
        <x:v>Terminal Value Share</x:v>
      </x:c>
      <x:c r="B13" s="7">
        <x:f>'DCF Valuation'!B8/'DCF Valuation'!B10</x:f>
        <x:v>0.791945685845054</x:v>
      </x:c>
    </x:row>
  </x:sheetData>
</x:worksheet>
</file>

<file path=xl/worksheets/sheet8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Data>
    <x:row r="1">
      <x:c r="A1" s="1" t="str">
        <x:v>Sensitivity</x:v>
      </x:c>
      <x:c r="B1" s="1" t="str">
        <x:v/>
      </x:c>
      <x:c r="C1" s="1" t="str">
        <x:v/>
      </x:c>
      <x:c r="D1" s="1" t="str">
        <x:v/>
      </x:c>
      <x:c r="E1" s="1" t="str">
        <x:v/>
      </x:c>
      <x:c r="F1" s="1" t="str">
        <x:v/>
      </x:c>
      <x:c r="G1" s="1" t="str">
        <x:v/>
      </x:c>
      <x:c r="H1" s="1" t="str">
        <x:v/>
      </x:c>
      <x:c r="I1" s="1" t="str">
        <x:v/>
      </x:c>
    </x:row>
    <x:row r="3">
      <x:c r="A3" s="1" t="str">
        <x:v>WACC \ TGR</x:v>
      </x:c>
      <x:c r="B3" s="15">
        <x:v>0.02</x:v>
      </x:c>
      <x:c r="C3" s="15">
        <x:v>0.025</x:v>
      </x:c>
      <x:c r="D3" s="15">
        <x:v>0.03</x:v>
      </x:c>
      <x:c r="E3" s="15">
        <x:v>0.035</x:v>
      </x:c>
      <x:c r="F3" s="15">
        <x:v>0.04</x:v>
      </x:c>
    </x:row>
    <x:row r="4">
      <x:c r="A4" s="15">
        <x:v>0.08</x:v>
      </x:c>
      <x:c r="B4" s="14">
        <x:f>(SUM('Cash Flow'!E8/(1+$A4)^1,'Cash Flow'!F8/(1+$A4)^2,'Cash Flow'!G8/(1+$A4)^3,'Cash Flow'!H8/(1+$A4)^4,'Cash Flow'!I8/(1+$A4)^5)+('Cash Flow'!I8*(1+B3)/($A4-B3))/(1+$A4)^5+'Balance Sheet'!D3-'Balance Sheet'!D4)/Assumptions!D12</x:f>
        <x:v>81.8744506277748</x:v>
      </x:c>
      <x:c r="C4" s="14">
        <x:f>(SUM('Cash Flow'!E8/(1+$A4)^1,'Cash Flow'!F8/(1+$A4)^2,'Cash Flow'!G8/(1+$A4)^3,'Cash Flow'!H8/(1+$A4)^4,'Cash Flow'!I8/(1+$A4)^5)+('Cash Flow'!I8*(1+C3)/($A4-C3))/(1+$A4)^5+'Balance Sheet'!D3-'Balance Sheet'!D4)/Assumptions!D12</x:f>
        <x:v>88.5218708471167</x:v>
      </x:c>
      <x:c r="D4" s="14">
        <x:f>(SUM('Cash Flow'!E8/(1+$A4)^1,'Cash Flow'!F8/(1+$A4)^2,'Cash Flow'!G8/(1+$A4)^3,'Cash Flow'!H8/(1+$A4)^4,'Cash Flow'!I8/(1+$A4)^5)+('Cash Flow'!I8*(1+D3)/($A4-D3))/(1+$A4)^5+'Balance Sheet'!D3-'Balance Sheet'!D4)/Assumptions!D12</x:f>
        <x:v>96.4987751103269</x:v>
      </x:c>
      <x:c r="E4" s="14">
        <x:f>(SUM('Cash Flow'!E8/(1+$A4)^1,'Cash Flow'!F8/(1+$A4)^2,'Cash Flow'!G8/(1+$A4)^3,'Cash Flow'!H8/(1+$A4)^4,'Cash Flow'!I8/(1+$A4)^5)+('Cash Flow'!I8*(1+E3)/($A4-E3))/(1+$A4)^5+'Balance Sheet'!D3-'Balance Sheet'!D4)/Assumptions!D12</x:f>
        <x:v>106.248324765362</x:v>
      </x:c>
      <x:c r="F4" s="14">
        <x:f>(SUM('Cash Flow'!E8/(1+$A4)^1,'Cash Flow'!F8/(1+$A4)^2,'Cash Flow'!G8/(1+$A4)^3,'Cash Flow'!H8/(1+$A4)^4,'Cash Flow'!I8/(1+$A4)^5)+('Cash Flow'!I8*(1+F3)/($A4-F3))/(1+$A4)^5+'Balance Sheet'!D3-'Balance Sheet'!D4)/Assumptions!D12</x:f>
        <x:v>118.435261834155</x:v>
      </x:c>
    </x:row>
    <x:row r="5">
      <x:c r="A5" s="15">
        <x:v>0.09</x:v>
      </x:c>
      <x:c r="B5" s="14">
        <x:f>(SUM('Cash Flow'!E8/(1+$A5)^1,'Cash Flow'!F8/(1+$A5)^2,'Cash Flow'!G8/(1+$A5)^3,'Cash Flow'!H8/(1+$A5)^4,'Cash Flow'!I8/(1+$A5)^5)+('Cash Flow'!I8*(1+B3)/($A5-B3))/(1+$A5)^5+'Balance Sheet'!D3-'Balance Sheet'!D4)/Assumptions!D12</x:f>
        <x:v>68.8708403012472</x:v>
      </x:c>
      <x:c r="C5" s="14">
        <x:f>(SUM('Cash Flow'!E8/(1+$A5)^1,'Cash Flow'!F8/(1+$A5)^2,'Cash Flow'!G8/(1+$A5)^3,'Cash Flow'!H8/(1+$A5)^4,'Cash Flow'!I8/(1+$A5)^5)+('Cash Flow'!I8*(1+C3)/($A5-C3))/(1+$A5)^5+'Balance Sheet'!D3-'Balance Sheet'!D4)/Assumptions!D12</x:f>
        <x:v>73.517541078686</x:v>
      </x:c>
      <x:c r="D5" s="14">
        <x:f>(SUM('Cash Flow'!E8/(1+$A5)^1,'Cash Flow'!F8/(1+$A5)^2,'Cash Flow'!G8/(1+$A5)^3,'Cash Flow'!H8/(1+$A5)^4,'Cash Flow'!I8/(1+$A5)^5)+('Cash Flow'!I8*(1+D3)/($A5-D3))/(1+$A5)^5+'Balance Sheet'!D3-'Balance Sheet'!D4)/Assumptions!D12</x:f>
        <x:v>78.9386919856981</x:v>
      </x:c>
      <x:c r="E5" s="14">
        <x:f>(SUM('Cash Flow'!E8/(1+$A5)^1,'Cash Flow'!F8/(1+$A5)^2,'Cash Flow'!G8/(1+$A5)^3,'Cash Flow'!H8/(1+$A5)^4,'Cash Flow'!I8/(1+$A5)^5)+('Cash Flow'!I8*(1+E3)/($A5-E3))/(1+$A5)^5+'Balance Sheet'!D3-'Balance Sheet'!D4)/Assumptions!D12</x:f>
        <x:v>85.3455066939851</x:v>
      </x:c>
      <x:c r="F5" s="14">
        <x:f>(SUM('Cash Flow'!E8/(1+$A5)^1,'Cash Flow'!F8/(1+$A5)^2,'Cash Flow'!G8/(1+$A5)^3,'Cash Flow'!H8/(1+$A5)^4,'Cash Flow'!I8/(1+$A5)^5)+('Cash Flow'!I8*(1+F3)/($A5-F3))/(1+$A5)^5+'Balance Sheet'!D3-'Balance Sheet'!D4)/Assumptions!D12</x:f>
        <x:v>93.0336843439294</x:v>
      </x:c>
    </x:row>
    <x:row r="6">
      <x:c r="A6" s="15">
        <x:v>0.1</x:v>
      </x:c>
      <x:c r="B6" s="14">
        <x:f>(SUM('Cash Flow'!E8/(1+$A6)^1,'Cash Flow'!F8/(1+$A6)^2,'Cash Flow'!G8/(1+$A6)^3,'Cash Flow'!H8/(1+$A6)^4,'Cash Flow'!I8/(1+$A6)^5)+('Cash Flow'!I8*(1+B3)/($A6-B3))/(1+$A6)^5+'Balance Sheet'!D3-'Balance Sheet'!D4)/Assumptions!D12</x:f>
        <x:v>59.1458201856346</x:v>
      </x:c>
      <x:c r="C6" s="14">
        <x:f>(SUM('Cash Flow'!E8/(1+$A6)^1,'Cash Flow'!F8/(1+$A6)^2,'Cash Flow'!G8/(1+$A6)^3,'Cash Flow'!H8/(1+$A6)^4,'Cash Flow'!I8/(1+$A6)^5)+('Cash Flow'!I8*(1+C3)/($A6-C3))/(1+$A6)^5+'Balance Sheet'!D3-'Balance Sheet'!D4)/Assumptions!D12</x:f>
        <x:v>62.5431687284202</x:v>
      </x:c>
      <x:c r="D6" s="14">
        <x:f>(SUM('Cash Flow'!E8/(1+$A6)^1,'Cash Flow'!F8/(1+$A6)^2,'Cash Flow'!G8/(1+$A6)^3,'Cash Flow'!H8/(1+$A6)^4,'Cash Flow'!I8/(1+$A6)^5)+('Cash Flow'!I8*(1+D3)/($A6-D3))/(1+$A6)^5+'Balance Sheet'!D3-'Balance Sheet'!D4)/Assumptions!D12</x:f>
        <x:v>66.4258527773182</x:v>
      </x:c>
      <x:c r="E6" s="14">
        <x:f>(SUM('Cash Flow'!E8/(1+$A6)^1,'Cash Flow'!F8/(1+$A6)^2,'Cash Flow'!G8/(1+$A6)^3,'Cash Flow'!H8/(1+$A6)^4,'Cash Flow'!I8/(1+$A6)^5)+('Cash Flow'!I8*(1+E3)/($A6-E3))/(1+$A6)^5+'Balance Sheet'!D3-'Balance Sheet'!D4)/Assumptions!D12</x:f>
        <x:v>70.9058728337388</x:v>
      </x:c>
      <x:c r="F6" s="14">
        <x:f>(SUM('Cash Flow'!E8/(1+$A6)^1,'Cash Flow'!F8/(1+$A6)^2,'Cash Flow'!G8/(1+$A6)^3,'Cash Flow'!H8/(1+$A6)^4,'Cash Flow'!I8/(1+$A6)^5)+('Cash Flow'!I8*(1+F3)/($A6-F3))/(1+$A6)^5+'Balance Sheet'!D3-'Balance Sheet'!D4)/Assumptions!D12</x:f>
        <x:v>76.1325628995628</x:v>
      </x:c>
    </x:row>
    <x:row r="7">
      <x:c r="A7" s="15">
        <x:v>0.11</x:v>
      </x:c>
      <x:c r="B7" s="14">
        <x:f>(SUM('Cash Flow'!E8/(1+$A7)^1,'Cash Flow'!F8/(1+$A7)^2,'Cash Flow'!G8/(1+$A7)^3,'Cash Flow'!H8/(1+$A7)^4,'Cash Flow'!I8/(1+$A7)^5)+('Cash Flow'!I8*(1+B3)/($A7-B3))/(1+$A7)^5+'Balance Sheet'!D3-'Balance Sheet'!D4)/Assumptions!D12</x:f>
        <x:v>51.6054338894736</x:v>
      </x:c>
      <x:c r="C7" s="14">
        <x:f>(SUM('Cash Flow'!E8/(1+$A7)^1,'Cash Flow'!F8/(1+$A7)^2,'Cash Flow'!G8/(1+$A7)^3,'Cash Flow'!H8/(1+$A7)^4,'Cash Flow'!I8/(1+$A7)^5)+('Cash Flow'!I8*(1+C3)/($A7-C3))/(1+$A7)^5+'Balance Sheet'!D3-'Balance Sheet'!D4)/Assumptions!D12</x:f>
        <x:v>54.175289632828</x:v>
      </x:c>
      <x:c r="D7" s="14">
        <x:f>(SUM('Cash Flow'!E8/(1+$A7)^1,'Cash Flow'!F8/(1+$A7)^2,'Cash Flow'!G8/(1+$A7)^3,'Cash Flow'!H8/(1+$A7)^4,'Cash Flow'!I8/(1+$A7)^5)+('Cash Flow'!I8*(1+D3)/($A7-D3))/(1+$A7)^5+'Balance Sheet'!D3-'Balance Sheet'!D4)/Assumptions!D12</x:f>
        <x:v>57.0663773441018</x:v>
      </x:c>
      <x:c r="E7" s="14">
        <x:f>(SUM('Cash Flow'!E8/(1+$A7)^1,'Cash Flow'!F8/(1+$A7)^2,'Cash Flow'!G8/(1+$A7)^3,'Cash Flow'!H8/(1+$A7)^4,'Cash Flow'!I8/(1+$A7)^5)+('Cash Flow'!I8*(1+E3)/($A7-E3))/(1+$A7)^5+'Balance Sheet'!D3-'Balance Sheet'!D4)/Assumptions!D12</x:f>
        <x:v>60.3429434168786</x:v>
      </x:c>
      <x:c r="F7" s="14">
        <x:f>(SUM('Cash Flow'!E8/(1+$A7)^1,'Cash Flow'!F8/(1+$A7)^2,'Cash Flow'!G8/(1+$A7)^3,'Cash Flow'!H8/(1+$A7)^4,'Cash Flow'!I8/(1+$A7)^5)+('Cash Flow'!I8*(1+F3)/($A7-F3))/(1+$A7)^5+'Balance Sheet'!D3-'Balance Sheet'!D4)/Assumptions!D12</x:f>
        <x:v>64.087590357195</x:v>
      </x:c>
    </x:row>
    <x:row r="8">
      <x:c r="A8" s="15">
        <x:v>0.12</x:v>
      </x:c>
      <x:c r="B8" s="14">
        <x:f>(SUM('Cash Flow'!E8/(1+$A8)^1,'Cash Flow'!F8/(1+$A8)^2,'Cash Flow'!G8/(1+$A8)^3,'Cash Flow'!H8/(1+$A8)^4,'Cash Flow'!I8/(1+$A8)^5)+('Cash Flow'!I8*(1+B3)/($A8-B3))/(1+$A8)^5+'Balance Sheet'!D3-'Balance Sheet'!D4)/Assumptions!D12</x:f>
        <x:v>45.5933610387341</x:v>
      </x:c>
      <x:c r="C8" s="14">
        <x:f>(SUM('Cash Flow'!E8/(1+$A8)^1,'Cash Flow'!F8/(1+$A8)^2,'Cash Flow'!G8/(1+$A8)^3,'Cash Flow'!H8/(1+$A8)^4,'Cash Flow'!I8/(1+$A8)^5)+('Cash Flow'!I8*(1+C3)/($A8-C3))/(1+$A8)^5+'Balance Sheet'!D3-'Balance Sheet'!D4)/Assumptions!D12</x:f>
        <x:v>47.5898476385127</x:v>
      </x:c>
      <x:c r="D8" s="14">
        <x:f>(SUM('Cash Flow'!E8/(1+$A8)^1,'Cash Flow'!F8/(1+$A8)^2,'Cash Flow'!G8/(1+$A8)^3,'Cash Flow'!H8/(1+$A8)^4,'Cash Flow'!I8/(1+$A8)^5)+('Cash Flow'!I8*(1+D3)/($A8-D3))/(1+$A8)^5+'Balance Sheet'!D3-'Balance Sheet'!D4)/Assumptions!D12</x:f>
        <x:v>49.808166082711</x:v>
      </x:c>
      <x:c r="E8" s="14">
        <x:f>(SUM('Cash Flow'!E8/(1+$A8)^1,'Cash Flow'!F8/(1+$A8)^2,'Cash Flow'!G8/(1+$A8)^3,'Cash Flow'!H8/(1+$A8)^4,'Cash Flow'!I8/(1+$A8)^5)+('Cash Flow'!I8*(1+E3)/($A8-E3))/(1+$A8)^5+'Balance Sheet'!D3-'Balance Sheet'!D4)/Assumptions!D12</x:f>
        <x:v>52.2874631674033</x:v>
      </x:c>
      <x:c r="F8" s="14">
        <x:f>(SUM('Cash Flow'!E8/(1+$A8)^1,'Cash Flow'!F8/(1+$A8)^2,'Cash Flow'!G8/(1+$A8)^3,'Cash Flow'!H8/(1+$A8)^4,'Cash Flow'!I8/(1+$A8)^5)+('Cash Flow'!I8*(1+F3)/($A8-F3))/(1+$A8)^5+'Balance Sheet'!D3-'Balance Sheet'!D4)/Assumptions!D12</x:f>
        <x:v>55.0766723876821</x:v>
      </x:c>
    </x:row>
  </x:sheetData>
</x:worksheet>
</file>

<file path=xl/worksheets/sheet9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Data>
    <x:row r="1">
      <x:c r="A1" s="1" t="str">
        <x:v>Error Checks</x:v>
      </x:c>
      <x:c r="B1" s="1" t="str">
        <x:v/>
      </x:c>
      <x:c r="C1" s="1" t="str">
        <x:v/>
      </x:c>
      <x:c r="D1" s="1" t="str">
        <x:v/>
      </x:c>
      <x:c r="E1" s="1" t="str">
        <x:v/>
      </x:c>
      <x:c r="F1" s="1" t="str">
        <x:v/>
      </x:c>
      <x:c r="G1" s="1" t="str">
        <x:v/>
      </x:c>
      <x:c r="H1" s="1" t="str">
        <x:v/>
      </x:c>
      <x:c r="I1" s="1" t="str">
        <x:v/>
      </x:c>
    </x:row>
    <x:row r="2">
      <x:c r="A2" s="1" t="str">
        <x:v>Check</x:v>
      </x:c>
      <x:c r="B2" s="1" t="str">
        <x:v>2023A</x:v>
      </x:c>
      <x:c r="C2" s="1" t="str">
        <x:v>2024A</x:v>
      </x:c>
      <x:c r="D2" s="1" t="str">
        <x:v>2025A</x:v>
      </x:c>
      <x:c r="E2" s="1" t="str">
        <x:v>Y1</x:v>
      </x:c>
      <x:c r="F2" s="1" t="str">
        <x:v>Y2</x:v>
      </x:c>
      <x:c r="G2" s="1" t="str">
        <x:v>Y3</x:v>
      </x:c>
      <x:c r="H2" s="1" t="str">
        <x:v>Y4</x:v>
      </x:c>
      <x:c r="I2" s="1" t="str">
        <x:v>Y5</x:v>
      </x:c>
    </x:row>
    <x:row r="3">
      <x:c r="A3" s="2" t="str">
        <x:v>Balance Sheet Balances</x:v>
      </x:c>
      <x:c r="B3" s="11" t="b">
        <x:f>'Balance Sheet'!B8=0</x:f>
        <x:v>1</x:v>
      </x:c>
      <x:c r="C3" s="11" t="b">
        <x:f>'Balance Sheet'!C8=0</x:f>
        <x:v>1</x:v>
      </x:c>
      <x:c r="D3" s="11" t="b">
        <x:f>'Balance Sheet'!D8=0</x:f>
        <x:v>1</x:v>
      </x:c>
      <x:c r="E3" s="11" t="b">
        <x:f>'Balance Sheet'!E8=0</x:f>
        <x:v>1</x:v>
      </x:c>
      <x:c r="F3" s="11" t="b">
        <x:f>'Balance Sheet'!F8=0</x:f>
        <x:v>1</x:v>
      </x:c>
      <x:c r="G3" s="11" t="b">
        <x:f>'Balance Sheet'!G8=0</x:f>
        <x:v>1</x:v>
      </x:c>
      <x:c r="H3" s="11" t="b">
        <x:f>'Balance Sheet'!H8=0</x:f>
        <x:v>1</x:v>
      </x:c>
      <x:c r="I3" s="11" t="b">
        <x:f>'Balance Sheet'!I8=0</x:f>
        <x:v>1</x:v>
      </x:c>
    </x:row>
    <x:row r="4">
      <x:c r="A4" s="2" t="str">
        <x:v>Cash Reconciles</x:v>
      </x:c>
      <x:c r="B4" s="11" t="b">
        <x:f>'Cash Flow'!B12</x:f>
        <x:v>1</x:v>
      </x:c>
      <x:c r="C4" s="11" t="b">
        <x:f>'Cash Flow'!C12</x:f>
        <x:v>1</x:v>
      </x:c>
      <x:c r="D4" s="11" t="b">
        <x:f>'Cash Flow'!D12</x:f>
        <x:v>1</x:v>
      </x:c>
      <x:c r="E4" s="11" t="b">
        <x:f>'Cash Flow'!E12</x:f>
        <x:v>1</x:v>
      </x:c>
      <x:c r="F4" s="11" t="b">
        <x:f>'Cash Flow'!F12</x:f>
        <x:v>1</x:v>
      </x:c>
      <x:c r="G4" s="11" t="b">
        <x:f>'Cash Flow'!G12</x:f>
        <x:v>1</x:v>
      </x:c>
      <x:c r="H4" s="11" t="b">
        <x:f>'Cash Flow'!H12</x:f>
        <x:v>1</x:v>
      </x:c>
      <x:c r="I4" s="11" t="b">
        <x:f>'Cash Flow'!I12</x:f>
        <x:v>1</x:v>
      </x:c>
    </x:row>
    <x:row r="7">
      <x:c r="A7" s="2" t="str">
        <x:v>Overall Status</x:v>
      </x:c>
      <x:c r="B7" s="11" t="str">
        <x:f>IF(AND(B3,C3,D3,E3,F3,G3,H3,I3,B4,C4,D4,E4,F4,G4,H4,I4),"ALL CLEAR","ERRORS FOUND")</x:f>
        <x:v>ALL CLEAR</x:v>
      </x:c>
    </x:row>
  </x:sheetData>
</x:worksheet>
</file>

<file path=xl/worksheets/sheet10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Data>
    <x:row r="1">
      <x:c r="A1" s="16" t="str">
        <x:v>Source Map</x:v>
      </x:c>
      <x:c r="B1" s="16" t="str">
        <x:v>Location</x:v>
      </x:c>
      <x:c r="C1" s="1" t="str">
        <x:v/>
      </x:c>
      <x:c r="D1" s="1" t="str">
        <x:v/>
      </x:c>
      <x:c r="E1" s="1" t="str">
        <x:v/>
      </x:c>
      <x:c r="F1" s="1" t="str">
        <x:v/>
      </x:c>
      <x:c r="G1" s="1" t="str">
        <x:v/>
      </x:c>
      <x:c r="H1" s="1" t="str">
        <x:v/>
      </x:c>
      <x:c r="I1" s="1" t="str">
        <x:v/>
      </x:c>
    </x:row>
    <x:row r="2">
      <x:c r="A2" s="2" t="str">
        <x:v>Financial statement inputs</x:v>
      </x:c>
      <x:c r="B2" t="str">
        <x:v>companies/sandisk/vault/public_company/data/statements/annual_statements.json</x:v>
      </x:c>
    </x:row>
    <x:row r="3">
      <x:c r="A3" s="2" t="str">
        <x:v>Market data inputs</x:v>
      </x:c>
      <x:c r="B3" t="str">
        <x:v>companies/sandisk/vault/public_company/data/valuation/valuation_snapshot.json</x:v>
      </x:c>
    </x:row>
    <x:row r="4">
      <x:c r="A4" s="2" t="str">
        <x:v>Installed skill</x:v>
      </x:c>
      <x:c r="B4" t="str">
        <x:v>experiments/skillsmp_officecli_financial_model/installed_skills/officecli-financial-model</x:v>
      </x:c>
    </x:row>
    <x:row r="5">
      <x:c r="A5" s="2" t="str">
        <x:v>OfficeCLI version</x:v>
      </x:c>
      <x:c r="B5" t="str">
        <x:v>officecli --version output recorded by run log</x:v>
      </x:c>
    </x:row>
    <x:row r="6">
      <x:c r="A6" s="2" t="str">
        <x:v>Run folder</x:v>
      </x:c>
      <x:c r="B6" t="str">
        <x:v>/Users/leafsun/Desktop/AI Org研究/experiments/skillsmp_officecli_financial_model/run_sndk_officecli</x:v>
      </x:c>
    </x:row>
  </x:sheetData>
</x:worksheet>
</file>