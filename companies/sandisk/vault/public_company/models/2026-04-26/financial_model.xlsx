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istorical Statements" sheetId="2" r:id="rId2"/>
    <sheet name="Operating Metrics" sheetId="3" r:id="rId3"/>
    <sheet name="Forecast" sheetId="4" r:id="rId4"/>
    <sheet name="DCF" sheetId="5" r:id="rId5"/>
    <sheet name="Comps" sheetId="6" r:id="rId6"/>
    <sheet name="Sensitivity" sheetId="7" r:id="rId7"/>
    <sheet name="Capital Signals" sheetId="8" r:id="rId8"/>
    <sheet name="Source Map" sheetId="9" r:id="rId9"/>
    <sheet name="Assumptions" sheetId="10" r:id="rId10"/>
  </sheets>
  <calcPr calcId="124519" fullCalcOnLoad="1"/>
</workbook>
</file>

<file path=xl/sharedStrings.xml><?xml version="1.0" encoding="utf-8"?>
<sst xmlns="http://schemas.openxmlformats.org/spreadsheetml/2006/main" count="774" uniqueCount="220">
  <si>
    <t>name</t>
  </si>
  <si>
    <t>value</t>
  </si>
  <si>
    <t>status</t>
  </si>
  <si>
    <t>description</t>
  </si>
  <si>
    <t>revenue_growth</t>
  </si>
  <si>
    <t>auto_default</t>
  </si>
  <si>
    <t>Base forecast revenue growth</t>
  </si>
  <si>
    <t>operating_margin</t>
  </si>
  <si>
    <t>Base forecast operating margin</t>
  </si>
  <si>
    <t>tax_rate</t>
  </si>
  <si>
    <t>Cash tax rate</t>
  </si>
  <si>
    <t>da_percent_revenue</t>
  </si>
  <si>
    <t>D&amp;A as % of revenue</t>
  </si>
  <si>
    <t>capex_percent_revenue</t>
  </si>
  <si>
    <t>Capital expenditure as % of revenue</t>
  </si>
  <si>
    <t>nwc_percent_revenue</t>
  </si>
  <si>
    <t>Change in working capital as % of revenue</t>
  </si>
  <si>
    <t>wacc</t>
  </si>
  <si>
    <t>Weighted average cost of capital</t>
  </si>
  <si>
    <t>terminal_growth</t>
  </si>
  <si>
    <t>Terminal growth rate</t>
  </si>
  <si>
    <t>period</t>
  </si>
  <si>
    <t>fiscal_year</t>
  </si>
  <si>
    <t>fiscal_period</t>
  </si>
  <si>
    <t>form</t>
  </si>
  <si>
    <t>filed</t>
  </si>
  <si>
    <t>revenue</t>
  </si>
  <si>
    <t>gross_profit</t>
  </si>
  <si>
    <t>operating_income</t>
  </si>
  <si>
    <t>net_income</t>
  </si>
  <si>
    <t>operating_cash_flow</t>
  </si>
  <si>
    <t>capital_expenditures</t>
  </si>
  <si>
    <t>cash</t>
  </si>
  <si>
    <t>debt</t>
  </si>
  <si>
    <t>assets</t>
  </si>
  <si>
    <t>liabilities</t>
  </si>
  <si>
    <t>stockholders_equity</t>
  </si>
  <si>
    <t>shares_outstanding</t>
  </si>
  <si>
    <t>2023</t>
  </si>
  <si>
    <t>FY</t>
  </si>
  <si>
    <t>10-K</t>
  </si>
  <si>
    <t>2025-08-21</t>
  </si>
  <si>
    <t>2024</t>
  </si>
  <si>
    <t>2025</t>
  </si>
  <si>
    <t>gross_margin</t>
  </si>
  <si>
    <t>net_margin</t>
  </si>
  <si>
    <t>fcf_margin</t>
  </si>
  <si>
    <t>metric</t>
  </si>
  <si>
    <t>latest</t>
  </si>
  <si>
    <t>Y1</t>
  </si>
  <si>
    <t>Y2</t>
  </si>
  <si>
    <t>Y3</t>
  </si>
  <si>
    <t>Y4</t>
  </si>
  <si>
    <t>Y5</t>
  </si>
  <si>
    <t>Revenue</t>
  </si>
  <si>
    <t>Operating Income</t>
  </si>
  <si>
    <t>NOPAT</t>
  </si>
  <si>
    <t>D&amp;A</t>
  </si>
  <si>
    <t>Capex</t>
  </si>
  <si>
    <t>Change in NWC</t>
  </si>
  <si>
    <t>Free Cash Flow</t>
  </si>
  <si>
    <t>Item</t>
  </si>
  <si>
    <t>Value</t>
  </si>
  <si>
    <t>WACC</t>
  </si>
  <si>
    <t>Terminal growth</t>
  </si>
  <si>
    <t>PV Y1</t>
  </si>
  <si>
    <t>PV Y2</t>
  </si>
  <si>
    <t>PV Y3</t>
  </si>
  <si>
    <t>PV Y4</t>
  </si>
  <si>
    <t>PV Y5</t>
  </si>
  <si>
    <t>Terminal FCF</t>
  </si>
  <si>
    <t>Terminal value</t>
  </si>
  <si>
    <t>PV terminal value</t>
  </si>
  <si>
    <t>Enterprise value</t>
  </si>
  <si>
    <t>Cash</t>
  </si>
  <si>
    <t>Debt</t>
  </si>
  <si>
    <t>Equity value</t>
  </si>
  <si>
    <t>Shares outstanding</t>
  </si>
  <si>
    <t>Implied price</t>
  </si>
  <si>
    <t>Source</t>
  </si>
  <si>
    <t>Company</t>
  </si>
  <si>
    <t>Sandisk</t>
  </si>
  <si>
    <t>target config</t>
  </si>
  <si>
    <t>Ticker</t>
  </si>
  <si>
    <t>SNDK</t>
  </si>
  <si>
    <t>As of</t>
  </si>
  <si>
    <t>2026-04-26</t>
  </si>
  <si>
    <t>script argument</t>
  </si>
  <si>
    <t>Market cap</t>
  </si>
  <si>
    <t>data/valuation/valuation_snapshot.json</t>
  </si>
  <si>
    <t>Latest annual revenue</t>
  </si>
  <si>
    <t>data/statements/annual_statements.json</t>
  </si>
  <si>
    <t>Latest annual net income</t>
  </si>
  <si>
    <t>DCF implied enterprise value</t>
  </si>
  <si>
    <t>DCF sheet</t>
  </si>
  <si>
    <t>DCF implied equity value</t>
  </si>
  <si>
    <t>DCF implied price</t>
  </si>
  <si>
    <t>ticker</t>
  </si>
  <si>
    <t>market_cap</t>
  </si>
  <si>
    <t>enterprise_value</t>
  </si>
  <si>
    <t>trailing_pe</t>
  </si>
  <si>
    <t>price_to_sales</t>
  </si>
  <si>
    <t>ev_to_ebitda</t>
  </si>
  <si>
    <t>source</t>
  </si>
  <si>
    <t>WDC</t>
  </si>
  <si>
    <t>yahoo_chart_json + stockanalysis_statistics_page</t>
  </si>
  <si>
    <t>MU</t>
  </si>
  <si>
    <t>STX</t>
  </si>
  <si>
    <t>285A.T</t>
  </si>
  <si>
    <t>yahoo_chart_json</t>
  </si>
  <si>
    <t>Terminal growth \ WACC</t>
  </si>
  <si>
    <t>type</t>
  </si>
  <si>
    <t>name_or_form</t>
  </si>
  <si>
    <t>date</t>
  </si>
  <si>
    <t>insider_form</t>
  </si>
  <si>
    <t>4</t>
  </si>
  <si>
    <t>2026-04-21</t>
  </si>
  <si>
    <t>PRIMARY DOCUMENT</t>
  </si>
  <si>
    <t>data/capital_signals/insider_forms.json</t>
  </si>
  <si>
    <t>2026-03-24</t>
  </si>
  <si>
    <t>2026-03-05</t>
  </si>
  <si>
    <t>2026-02-27</t>
  </si>
  <si>
    <t>2026-02-26</t>
  </si>
  <si>
    <t>2026-02-24</t>
  </si>
  <si>
    <t>2026-01-21</t>
  </si>
  <si>
    <t>2026-01-02</t>
  </si>
  <si>
    <t>3</t>
  </si>
  <si>
    <t>2025-12-23</t>
  </si>
  <si>
    <t>2025-12-04</t>
  </si>
  <si>
    <t>2025-11-26</t>
  </si>
  <si>
    <t>2025-11-24</t>
  </si>
  <si>
    <t>2025-11-19</t>
  </si>
  <si>
    <t>2025-10-21</t>
  </si>
  <si>
    <t>2025-09-22</t>
  </si>
  <si>
    <t>2025-09-04</t>
  </si>
  <si>
    <t>2025-08-27</t>
  </si>
  <si>
    <t>2025-08-22</t>
  </si>
  <si>
    <t>2025-07-22</t>
  </si>
  <si>
    <t>2025-06-24</t>
  </si>
  <si>
    <t>2025-06-09</t>
  </si>
  <si>
    <t>2025-05-28</t>
  </si>
  <si>
    <t>2025-05-22</t>
  </si>
  <si>
    <t>2025-05-13</t>
  </si>
  <si>
    <t>2025-04-21</t>
  </si>
  <si>
    <t>2025-03-24</t>
  </si>
  <si>
    <t>2025-03-14</t>
  </si>
  <si>
    <t>2025-03-04</t>
  </si>
  <si>
    <t>2025-03-03</t>
  </si>
  <si>
    <t>2025-02-25</t>
  </si>
  <si>
    <t>2025-02-14</t>
  </si>
  <si>
    <t>2025-01-31</t>
  </si>
  <si>
    <t>institutional_holder</t>
  </si>
  <si>
    <t>Fmr Llc</t>
  </si>
  <si>
    <t>12/31/2025</t>
  </si>
  <si>
    <t>21,466,285</t>
  </si>
  <si>
    <t>data/capital_signals/institutional_holders.json</t>
  </si>
  <si>
    <t>Vanguard Group Inc</t>
  </si>
  <si>
    <t>16,976,485</t>
  </si>
  <si>
    <t>Blackrock, Inc.</t>
  </si>
  <si>
    <t>9,624,416</t>
  </si>
  <si>
    <t>State Street Corp</t>
  </si>
  <si>
    <t>5,281,522</t>
  </si>
  <si>
    <t>Geode Capital Management, Llc</t>
  </si>
  <si>
    <t>3,655,860</t>
  </si>
  <si>
    <t>Arrowstreet Capital, Limited Partnership</t>
  </si>
  <si>
    <t>3,478,002</t>
  </si>
  <si>
    <t>Morgan Stanley</t>
  </si>
  <si>
    <t>2,970,361</t>
  </si>
  <si>
    <t>Norges Bank</t>
  </si>
  <si>
    <t>2,185,899</t>
  </si>
  <si>
    <t>D. E. Shaw &amp; Co., Inc.</t>
  </si>
  <si>
    <t>2,093,003</t>
  </si>
  <si>
    <t>Bank Of America Corp /De/</t>
  </si>
  <si>
    <t>1,645,125</t>
  </si>
  <si>
    <t>Charles Schwab Investment Management Inc</t>
  </si>
  <si>
    <t>1,642,168</t>
  </si>
  <si>
    <t>Millennium Management Llc</t>
  </si>
  <si>
    <t>1,499,139</t>
  </si>
  <si>
    <t>Price T Rowe Associates Inc /Md/</t>
  </si>
  <si>
    <t>1,437,171</t>
  </si>
  <si>
    <t>Madison Avenue Partners, Lp</t>
  </si>
  <si>
    <t>1,434,172</t>
  </si>
  <si>
    <t>Invesco Ltd.</t>
  </si>
  <si>
    <t>1,326,405</t>
  </si>
  <si>
    <t>Polar Capital Holdings Plc</t>
  </si>
  <si>
    <t>1,268,237</t>
  </si>
  <si>
    <t>Renaissance Technologies Llc</t>
  </si>
  <si>
    <t>1,209,000</t>
  </si>
  <si>
    <t>Aqr Capital Management Llc</t>
  </si>
  <si>
    <t>1,134,574</t>
  </si>
  <si>
    <t>Northern Trust Corp</t>
  </si>
  <si>
    <t>1,133,873</t>
  </si>
  <si>
    <t>Qube Research &amp; Technologies Ltd</t>
  </si>
  <si>
    <t>1,082,597</t>
  </si>
  <si>
    <t>Evergreen Quality Fund Gp, Ltd.</t>
  </si>
  <si>
    <t>1,077,800</t>
  </si>
  <si>
    <t>Situational Awareness Lp</t>
  </si>
  <si>
    <t>1,054,200</t>
  </si>
  <si>
    <t>Marshall Wace, Llp</t>
  </si>
  <si>
    <t>1,003,700</t>
  </si>
  <si>
    <t>Whale Rock Capital Management Llc</t>
  </si>
  <si>
    <t>1,003,566</t>
  </si>
  <si>
    <t>Dimensional Fund Advisors Lp</t>
  </si>
  <si>
    <t>958,462</t>
  </si>
  <si>
    <t xml:space="preserve">[{"tag": "RevenueFromContractWithCustomerExcludingAssessedTax", "form": "10-K", "fy": "2025", "fp": "FY", "period": "2023", "filed": "2025-08-21", "end": "2023-06-30", "frame": null, "source": "sec_companyfacts.json", "selection_rule": "annual_by_actual_end_year_or_quarter_duration_preference"}, {"tag": "RevenueFromContractWithCustomerExcludingAssessedTax", "form": "10-Q/A", "fy": "2025", "fp": "Q2", "period": "2025-Q2", "filed": "2025-03-17", "end": "2023-12-29", "frame": "CY2023Q4", "source": </t>
  </si>
  <si>
    <t>present</t>
  </si>
  <si>
    <t>[{"tag": "GrossProfit", "form": "10-K", "fy": "2025", "fp": "FY", "period": "2023", "filed": "2025-08-21", "end": "2023-06-30", "frame": null, "source": "sec_companyfacts.json", "selection_rule": "annual_by_actual_end_year_or_quarter_duration_preference"}, {"tag": "GrossProfit", "form": "10-Q/A", "fy": "2025", "fp": "Q2", "period": "2025-Q2", "filed": "2025-03-17", "end": "2023-12-29", "frame": "CY2023Q4", "source": "sec_companyfacts.json", "selection_rule": "annual_by_actual_end_year_or_quarter</t>
  </si>
  <si>
    <t>[{"tag": "OperatingIncomeLoss", "form": "10-K", "fy": "2025", "fp": "FY", "period": "2023", "filed": "2025-08-21", "end": "2023-06-30", "frame": null, "source": "sec_companyfacts.json", "selection_rule": "annual_by_actual_end_year_or_quarter_duration_preference"}, {"tag": "OperatingIncomeLoss", "form": "10-Q/A", "fy": "2025", "fp": "Q2", "period": "2025-Q2", "filed": "2025-03-17", "end": "2023-12-29", "frame": "CY2023Q4", "source": "sec_companyfacts.json", "selection_rule": "annual_by_actual_end</t>
  </si>
  <si>
    <t>[{"tag": "NetIncomeLoss", "form": "10-K", "fy": "2025", "fp": "FY", "period": "2023", "filed": "2025-08-21", "end": "2023-06-30", "frame": null, "source": "sec_companyfacts.json", "selection_rule": "annual_by_actual_end_year_or_quarter_duration_preference"}, {"tag": "NetIncomeLoss", "form": "10-Q/A", "fy": "2025", "fp": "Q2", "period": "2025-Q2", "filed": "2025-03-17", "end": "2024-12-27", "frame": null, "source": "sec_companyfacts.json", "selection_rule": "annual_by_actual_end_year_or_quarter_d</t>
  </si>
  <si>
    <t>[{"tag": "NetCashProvidedByUsedInOperatingActivities", "form": "10-K", "fy": "2025", "fp": "FY", "period": "2023", "filed": "2025-08-21", "end": "2023-06-30", "frame": null, "source": "sec_companyfacts.json", "selection_rule": "annual_by_actual_end_year_or_quarter_duration_preference"}, {"tag": "NetCashProvidedByUsedInOperatingActivities", "form": "10-Q/A", "fy": "2025", "fp": "Q2", "period": "2025-Q2", "filed": "2025-03-17", "end": "2024-12-27", "frame": null, "source": "sec_companyfacts.json",</t>
  </si>
  <si>
    <t>[{"tag": "PaymentsToAcquirePropertyPlantAndEquipment", "form": "10-K", "fy": "2025", "fp": "FY", "period": "2023", "filed": "2025-08-21", "end": "2023-06-30", "frame": null, "source": "sec_companyfacts.json", "selection_rule": "annual_by_actual_end_year_or_quarter_duration_preference"}, {"tag": "PaymentsToAcquirePropertyPlantAndEquipment", "form": "10-Q/A", "fy": "2025", "fp": "Q2", "period": "2025-Q2", "filed": "2025-03-17", "end": "2024-12-27", "frame": null, "source": "sec_companyfacts.json",</t>
  </si>
  <si>
    <t>[{"tag": "CashAndCashEquivalentsAtCarryingValue", "form": "10-Q/A", "fy": "2025", "fp": "Q2", "period": "2025-Q2", "filed": "2025-03-17", "end": "2024-12-27", "frame": "CY2024Q4I", "source": "sec_companyfacts.json", "selection_rule": "annual_by_actual_end_year_or_quarter_duration_preference"}, {"tag": "CashAndCashEquivalentsAtCarryingValue", "form": "10-Q", "fy": "2025", "fp": "Q3", "period": "2025-Q3", "filed": "2025-05-12", "end": "2025-03-28", "frame": "CY2025Q1I", "source": "sec_companyfacts</t>
  </si>
  <si>
    <t>"data/statements/annual_statements.json"</t>
  </si>
  <si>
    <t>[{"tag": "Assets", "form": "10-Q/A", "fy": "2025", "fp": "Q2", "period": "2025-Q2", "filed": "2025-03-17", "end": "2024-12-27", "frame": "CY2024Q4I", "source": "sec_companyfacts.json", "selection_rule": "annual_by_actual_end_year_or_quarter_duration_preference"}, {"tag": "Assets", "form": "10-Q", "fy": "2025", "fp": "Q3", "period": "2025-Q3", "filed": "2025-05-12", "end": "2025-03-28", "frame": "CY2025Q1I", "source": "sec_companyfacts.json", "selection_rule": "annual_by_actual_end_year_or_quarte</t>
  </si>
  <si>
    <t>[{"tag": "Liabilities", "form": "10-Q/A", "fy": "2025", "fp": "Q2", "period": "2025-Q2", "filed": "2025-03-17", "end": "2024-12-27", "frame": "CY2024Q4I", "source": "sec_companyfacts.json", "selection_rule": "annual_by_actual_end_year_or_quarter_duration_preference"}, {"tag": "Liabilities", "form": "10-Q", "fy": "2025", "fp": "Q3", "period": "2025-Q3", "filed": "2025-05-12", "end": "2025-03-28", "frame": "CY2025Q1I", "source": "sec_companyfacts.json", "selection_rule": "annual_by_actual_end_year</t>
  </si>
  <si>
    <t>[{"tag": "StockholdersEquity", "form": "10-K", "fy": "2025", "fp": "FY", "period": "2022", "filed": "2025-08-21", "end": "2022-07-01", "frame": "CY2022Q2I", "source": "sec_companyfacts.json", "selection_rule": "annual_by_actual_end_year_or_quarter_duration_preference"}, {"tag": "StockholdersEquity", "form": "10-Q/A", "fy": "2025", "fp": "Q2", "period": "2025-Q2", "filed": "2025-03-17", "end": "2024-12-27", "frame": null, "source": "sec_companyfacts.json", "selection_rule": "annual_by_actual_end_</t>
  </si>
  <si>
    <t>[{"tag": "WeightedAverageNumberOfDilutedSharesOutstanding", "form": "10-K", "fy": "2025", "fp": "FY", "period": "2023", "filed": "2025-08-21", "end": "2023-06-30", "frame": null, "source": "sec_companyfacts.json", "selection_rule": "annual_by_actual_end_year_or_quarter_duration_preference"}, {"tag": "WeightedAverageNumberOfDilutedSharesOutstanding", "form": "10-Q", "fy": "2025", "fp": "Q3", "period": "2025-Q3", "filed": "2025-05-12", "end": "2025-03-28", "frame": "CY2025Q1", "source": "sec_compa</t>
  </si>
  <si>
    <t>market_data</t>
  </si>
  <si>
    <t>data/market_data/price_history.csv</t>
  </si>
  <si>
    <t>valuation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</si>
</sst>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#,##0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8.7109375" customWidth="1"/>
    <col min="2" max="2" width="20.7109375" customWidth="1"/>
    <col min="3" max="3" width="44.7109375" customWidth="1"/>
  </cols>
  <sheetData>
    <row r="1" spans="1:3">
      <c r="A1" s="1" t="s">
        <v>61</v>
      </c>
      <c r="B1" s="1" t="s">
        <v>62</v>
      </c>
      <c r="C1" s="1" t="s">
        <v>79</v>
      </c>
    </row>
    <row r="2" spans="1:3">
      <c r="A2" s="2" t="s">
        <v>80</v>
      </c>
      <c r="B2" s="2" t="s">
        <v>81</v>
      </c>
      <c r="C2" s="2" t="s">
        <v>82</v>
      </c>
    </row>
    <row r="3" spans="1:3">
      <c r="A3" s="2" t="s">
        <v>83</v>
      </c>
      <c r="B3" s="2" t="s">
        <v>84</v>
      </c>
      <c r="C3" s="2" t="s">
        <v>82</v>
      </c>
    </row>
    <row r="4" spans="1:3">
      <c r="A4" s="2" t="s">
        <v>85</v>
      </c>
      <c r="B4" s="2" t="s">
        <v>86</v>
      </c>
      <c r="C4" s="2" t="s">
        <v>87</v>
      </c>
    </row>
    <row r="5" spans="1:3">
      <c r="A5" s="2" t="s">
        <v>88</v>
      </c>
      <c r="B5" s="3">
        <v>146110000000</v>
      </c>
      <c r="C5" s="2" t="s">
        <v>89</v>
      </c>
    </row>
    <row r="6" spans="1:3">
      <c r="A6" s="2" t="s">
        <v>73</v>
      </c>
      <c r="B6" s="3">
        <v>145380000000</v>
      </c>
      <c r="C6" s="2" t="s">
        <v>89</v>
      </c>
    </row>
    <row r="7" spans="1:3">
      <c r="A7" s="2" t="s">
        <v>90</v>
      </c>
      <c r="B7" s="3">
        <f>'Historical Statements'!F4</f>
        <v>7355000000</v>
      </c>
      <c r="C7" s="2" t="s">
        <v>91</v>
      </c>
    </row>
    <row r="8" spans="1:3">
      <c r="A8" s="2" t="s">
        <v>92</v>
      </c>
      <c r="B8" s="3">
        <f>'Historical Statements'!I4</f>
        <v>-1641000000</v>
      </c>
      <c r="C8" s="2" t="s">
        <v>91</v>
      </c>
    </row>
    <row r="9" spans="1:3">
      <c r="A9" s="2" t="s">
        <v>93</v>
      </c>
      <c r="B9" s="3">
        <f>DCF!B12</f>
        <v>4100064994.9627743</v>
      </c>
      <c r="C9" s="2" t="s">
        <v>94</v>
      </c>
    </row>
    <row r="10" spans="1:3">
      <c r="A10" s="2" t="s">
        <v>95</v>
      </c>
      <c r="B10" s="3">
        <f>DCF!B15</f>
        <v>3732064994.9627743</v>
      </c>
      <c r="C10" s="2" t="s">
        <v>94</v>
      </c>
    </row>
    <row r="11" spans="1:3">
      <c r="A11" s="2" t="s">
        <v>96</v>
      </c>
      <c r="B11" s="3">
        <f>DCF!B17</f>
        <v>25.73837927560534</v>
      </c>
      <c r="C11" s="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cols>
    <col min="1" max="2" width="12.7109375" customWidth="1"/>
    <col min="3" max="3" width="14.7109375" customWidth="1"/>
    <col min="4" max="4" width="10.7109375" customWidth="1"/>
    <col min="5" max="5" width="14.7109375" customWidth="1"/>
    <col min="6" max="7" width="16.7109375" customWidth="1"/>
    <col min="8" max="8" width="18.7109375" customWidth="1"/>
    <col min="9" max="9" width="16.7109375" customWidth="1"/>
    <col min="10" max="11" width="20.7109375" customWidth="1"/>
    <col min="12" max="12" width="16.7109375" customWidth="1"/>
    <col min="13" max="13" width="14.7109375" customWidth="1"/>
    <col min="14" max="15" width="16.7109375" customWidth="1"/>
    <col min="16" max="17" width="22.7109375" customWidth="1"/>
  </cols>
  <sheetData>
    <row r="1" spans="1:1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>
      <c r="A2" s="2" t="s">
        <v>38</v>
      </c>
      <c r="B2" s="4">
        <v>2023</v>
      </c>
      <c r="C2" s="2" t="s">
        <v>39</v>
      </c>
      <c r="D2" s="2" t="s">
        <v>40</v>
      </c>
      <c r="E2" s="2" t="s">
        <v>41</v>
      </c>
      <c r="F2" s="4">
        <v>6086000000</v>
      </c>
      <c r="G2" s="4">
        <v>430000000</v>
      </c>
      <c r="H2" s="4">
        <v>-2035000000</v>
      </c>
      <c r="I2" s="4">
        <v>-2143000000</v>
      </c>
      <c r="J2" s="4">
        <v>-713000000</v>
      </c>
      <c r="K2" s="4">
        <v>-219000000</v>
      </c>
      <c r="L2" s="4">
        <v>292000000</v>
      </c>
      <c r="M2" s="2"/>
      <c r="N2" s="2"/>
      <c r="O2" s="2"/>
      <c r="P2" s="4">
        <v>11439000000</v>
      </c>
      <c r="Q2" s="4">
        <v>145000000</v>
      </c>
    </row>
    <row r="3" spans="1:17">
      <c r="A3" s="2" t="s">
        <v>42</v>
      </c>
      <c r="B3" s="4">
        <v>2024</v>
      </c>
      <c r="C3" s="2" t="s">
        <v>39</v>
      </c>
      <c r="D3" s="2" t="s">
        <v>40</v>
      </c>
      <c r="E3" s="2" t="s">
        <v>41</v>
      </c>
      <c r="F3" s="4">
        <v>6663000000</v>
      </c>
      <c r="G3" s="4">
        <v>1072000000</v>
      </c>
      <c r="H3" s="4">
        <v>-468000000</v>
      </c>
      <c r="I3" s="4">
        <v>-672000000</v>
      </c>
      <c r="J3" s="4">
        <v>-309000000</v>
      </c>
      <c r="K3" s="4">
        <v>-166000000</v>
      </c>
      <c r="L3" s="4">
        <v>328000000</v>
      </c>
      <c r="M3" s="2"/>
      <c r="N3" s="4">
        <v>13506000000</v>
      </c>
      <c r="O3" s="4">
        <v>2424000000</v>
      </c>
      <c r="P3" s="4">
        <v>11082000000</v>
      </c>
      <c r="Q3" s="4">
        <v>145000000</v>
      </c>
    </row>
    <row r="4" spans="1:17">
      <c r="A4" s="2" t="s">
        <v>43</v>
      </c>
      <c r="B4" s="4">
        <v>2025</v>
      </c>
      <c r="C4" s="2" t="s">
        <v>39</v>
      </c>
      <c r="D4" s="2" t="s">
        <v>40</v>
      </c>
      <c r="E4" s="2" t="s">
        <v>41</v>
      </c>
      <c r="F4" s="4">
        <v>7355000000</v>
      </c>
      <c r="G4" s="4">
        <v>2212000000</v>
      </c>
      <c r="H4" s="4">
        <v>-1377000000</v>
      </c>
      <c r="I4" s="4">
        <v>-1641000000</v>
      </c>
      <c r="J4" s="4">
        <v>84000000</v>
      </c>
      <c r="K4" s="4">
        <v>-204000000</v>
      </c>
      <c r="L4" s="4">
        <v>1481000000</v>
      </c>
      <c r="M4" s="4">
        <v>1849000000</v>
      </c>
      <c r="N4" s="4">
        <v>12985000000</v>
      </c>
      <c r="O4" s="4">
        <v>3769000000</v>
      </c>
      <c r="P4" s="4">
        <v>9216000000</v>
      </c>
      <c r="Q4" s="4">
        <v>145000000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2.7109375" customWidth="1"/>
    <col min="2" max="2" width="18.7109375" customWidth="1"/>
    <col min="3" max="3" width="20.7109375" customWidth="1"/>
    <col min="4" max="5" width="16.7109375" customWidth="1"/>
  </cols>
  <sheetData>
    <row r="1" spans="1:5">
      <c r="A1" s="1" t="s">
        <v>21</v>
      </c>
      <c r="B1" s="1" t="s">
        <v>44</v>
      </c>
      <c r="C1" s="1" t="s">
        <v>7</v>
      </c>
      <c r="D1" s="1" t="s">
        <v>45</v>
      </c>
      <c r="E1" s="1" t="s">
        <v>46</v>
      </c>
    </row>
    <row r="2" spans="1:5">
      <c r="A2" s="2" t="s">
        <v>38</v>
      </c>
      <c r="B2" s="5">
        <f>IFERROR('Historical Statements'!G2/'Historical Statements'!F2,"")</f>
        <v>0.07065395990798554</v>
      </c>
      <c r="C2" s="5">
        <f>IFERROR('Historical Statements'!H2/'Historical Statements'!F2,"")</f>
        <v>-0.33437397305290834</v>
      </c>
      <c r="D2" s="5">
        <f>IFERROR('Historical Statements'!I2/'Historical Statements'!F2,"")</f>
        <v>-0.3521196187972396</v>
      </c>
      <c r="E2" s="5">
        <f>IFERROR(('Historical Statements'!J2+'Historical Statements'!K2)/'Historical Statements'!F2,"")</f>
        <v>-0.15313835031219192</v>
      </c>
    </row>
    <row r="3" spans="1:5">
      <c r="A3" s="2" t="s">
        <v>42</v>
      </c>
      <c r="B3" s="5">
        <f>IFERROR('Historical Statements'!G3/'Historical Statements'!F3,"")</f>
        <v>0.16088848866876782</v>
      </c>
      <c r="C3" s="5">
        <f>IFERROR('Historical Statements'!H3/'Historical Statements'!F3,"")</f>
        <v>-0.07023863124718595</v>
      </c>
      <c r="D3" s="5">
        <f>IFERROR('Historical Statements'!I3/'Historical Statements'!F3,"")</f>
        <v>-0.10085547050877983</v>
      </c>
      <c r="E3" s="5">
        <f>IFERROR(('Historical Statements'!J3+'Historical Statements'!K3)/'Historical Statements'!F3,"")</f>
        <v>-0.07128920906498575</v>
      </c>
    </row>
    <row r="4" spans="1:5">
      <c r="A4" s="2" t="s">
        <v>43</v>
      </c>
      <c r="B4" s="5">
        <f>IFERROR('Historical Statements'!G4/'Historical Statements'!F4,"")</f>
        <v>0.3007477906186268</v>
      </c>
      <c r="C4" s="5">
        <f>IFERROR('Historical Statements'!H4/'Historical Statements'!F4,"")</f>
        <v>-0.18721957851801496</v>
      </c>
      <c r="D4" s="5">
        <f>IFERROR('Historical Statements'!I4/'Historical Statements'!F4,"")</f>
        <v>-0.22311352821210062</v>
      </c>
      <c r="E4" s="5">
        <f>IFERROR(('Historical Statements'!J4+'Historical Statements'!K4)/'Historical Statements'!F4,"")</f>
        <v>-0.016315431679129844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20.7109375" customWidth="1"/>
    <col min="2" max="7" width="16.7109375" customWidth="1"/>
  </cols>
  <sheetData>
    <row r="1" spans="1:7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>
      <c r="A2" s="2" t="s">
        <v>54</v>
      </c>
      <c r="B2" s="3">
        <f>'Historical Statements'!F4</f>
        <v>7355000000</v>
      </c>
      <c r="C2" s="3">
        <f>B2*(1+Assumptions!$B$2)</f>
        <v>7722750000.0</v>
      </c>
      <c r="D2" s="3">
        <f>C2*(1+Assumptions!$B$2)</f>
        <v>8108887500.0</v>
      </c>
      <c r="E2" s="3">
        <f>D2*(1+Assumptions!$B$2)</f>
        <v>8514331875.0</v>
      </c>
      <c r="F2" s="3">
        <f>E2*(1+Assumptions!$B$2)</f>
        <v>8940048468.75</v>
      </c>
      <c r="G2" s="3">
        <f>F2*(1+Assumptions!$B$2)</f>
        <v>9387050892.1875</v>
      </c>
    </row>
    <row r="3" spans="1:7">
      <c r="A3" s="2" t="s">
        <v>55</v>
      </c>
      <c r="B3" s="3">
        <f>'Historical Statements'!H4</f>
        <v>-1377000000</v>
      </c>
      <c r="C3" s="3">
        <f>C2*Assumptions!$B$3</f>
        <v>926730000.0</v>
      </c>
      <c r="D3" s="3">
        <f>D2*Assumptions!$B$3</f>
        <v>973066500.0</v>
      </c>
      <c r="E3" s="3">
        <f>E2*Assumptions!$B$3</f>
        <v>1021719825.0</v>
      </c>
      <c r="F3" s="3">
        <f>F2*Assumptions!$B$3</f>
        <v>1072805816.25</v>
      </c>
      <c r="G3" s="3">
        <f>G2*Assumptions!$B$3</f>
        <v>1126446107.0625</v>
      </c>
    </row>
    <row r="4" spans="1:7">
      <c r="A4" s="2" t="s">
        <v>56</v>
      </c>
      <c r="B4" s="3"/>
      <c r="C4" s="3">
        <f>C3*(1-Assumptions!$B$4)</f>
        <v>732116700.0</v>
      </c>
      <c r="D4" s="3">
        <f>D3*(1-Assumptions!$B$4)</f>
        <v>768722535.0</v>
      </c>
      <c r="E4" s="3">
        <f>E3*(1-Assumptions!$B$4)</f>
        <v>807158661.75</v>
      </c>
      <c r="F4" s="3">
        <f>F3*(1-Assumptions!$B$4)</f>
        <v>847516594.8375001</v>
      </c>
      <c r="G4" s="3">
        <f>G3*(1-Assumptions!$B$4)</f>
        <v>889892424.579375</v>
      </c>
    </row>
    <row r="5" spans="1:7">
      <c r="A5" s="2" t="s">
        <v>57</v>
      </c>
      <c r="B5" s="3"/>
      <c r="C5" s="3">
        <f>C2*Assumptions!$B$5</f>
        <v>308910000.0</v>
      </c>
      <c r="D5" s="3">
        <f>D2*Assumptions!$B$5</f>
        <v>324355500.0</v>
      </c>
      <c r="E5" s="3">
        <f>E2*Assumptions!$B$5</f>
        <v>340573275.0</v>
      </c>
      <c r="F5" s="3">
        <f>F2*Assumptions!$B$5</f>
        <v>357601938.75</v>
      </c>
      <c r="G5" s="3">
        <f>G2*Assumptions!$B$5</f>
        <v>375482035.6875</v>
      </c>
    </row>
    <row r="6" spans="1:7">
      <c r="A6" s="2" t="s">
        <v>58</v>
      </c>
      <c r="B6" s="3">
        <f>'Historical Statements'!K4</f>
        <v>-204000000</v>
      </c>
      <c r="C6" s="3">
        <f>-C2*Assumptions!$B$6</f>
        <v>-617820000.0</v>
      </c>
      <c r="D6" s="3">
        <f>-D2*Assumptions!$B$6</f>
        <v>-648711000.0</v>
      </c>
      <c r="E6" s="3">
        <f>-E2*Assumptions!$B$6</f>
        <v>-681146550.0</v>
      </c>
      <c r="F6" s="3">
        <f>-F2*Assumptions!$B$6</f>
        <v>-715203877.5</v>
      </c>
      <c r="G6" s="3">
        <f>-G2*Assumptions!$B$6</f>
        <v>-750964071.375</v>
      </c>
    </row>
    <row r="7" spans="1:7">
      <c r="A7" s="2" t="s">
        <v>59</v>
      </c>
      <c r="B7" s="3"/>
      <c r="C7" s="3">
        <f>-C2*Assumptions!$B$7</f>
        <v>-154455000.0</v>
      </c>
      <c r="D7" s="3">
        <f>-D2*Assumptions!$B$7</f>
        <v>-162177750.0</v>
      </c>
      <c r="E7" s="3">
        <f>-E2*Assumptions!$B$7</f>
        <v>-170286637.5</v>
      </c>
      <c r="F7" s="3">
        <f>-F2*Assumptions!$B$7</f>
        <v>-178800969.375</v>
      </c>
      <c r="G7" s="3">
        <f>-G2*Assumptions!$B$7</f>
        <v>-187741017.84375</v>
      </c>
    </row>
    <row r="8" spans="1:7">
      <c r="A8" s="2" t="s">
        <v>60</v>
      </c>
      <c r="B8" s="3">
        <f>'Historical Statements'!J4+'Historical Statements'!K4</f>
        <v>-120000000</v>
      </c>
      <c r="C8" s="3">
        <f>C4+C5+C6+C7</f>
        <v>268751700.0</v>
      </c>
      <c r="D8" s="3">
        <f>D4+D5+D6+D7</f>
        <v>282189285.0</v>
      </c>
      <c r="E8" s="3">
        <f>E4+E5+E6+E7</f>
        <v>296298749.25</v>
      </c>
      <c r="F8" s="3">
        <f>F4+F5+F6+F7</f>
        <v>311113686.7125001</v>
      </c>
      <c r="G8" s="3">
        <f>G4+G5+G6+G7</f>
        <v>326669371.048125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4.7109375" customWidth="1"/>
    <col min="2" max="2" width="20.7109375" customWidth="1"/>
  </cols>
  <sheetData>
    <row r="1" spans="1:2">
      <c r="A1" s="1" t="s">
        <v>61</v>
      </c>
      <c r="B1" s="1" t="s">
        <v>62</v>
      </c>
    </row>
    <row r="2" spans="1:2">
      <c r="A2" s="2" t="s">
        <v>63</v>
      </c>
      <c r="B2" s="5">
        <f>Assumptions!$B$8</f>
        <v>0.1</v>
      </c>
    </row>
    <row r="3" spans="1:2">
      <c r="A3" s="2" t="s">
        <v>64</v>
      </c>
      <c r="B3" s="5">
        <f>Assumptions!$B$9</f>
        <v>0.03</v>
      </c>
    </row>
    <row r="4" spans="1:2">
      <c r="A4" s="2" t="s">
        <v>65</v>
      </c>
      <c r="B4" s="3">
        <f>Forecast!C8/(1+$B$2)^1</f>
        <v>244319727.27272725</v>
      </c>
    </row>
    <row r="5" spans="1:2">
      <c r="A5" s="2" t="s">
        <v>66</v>
      </c>
      <c r="B5" s="3">
        <f>Forecast!D8/(1+$B$2)^2</f>
        <v>233214285.1239669</v>
      </c>
    </row>
    <row r="6" spans="1:2">
      <c r="A6" s="2" t="s">
        <v>67</v>
      </c>
      <c r="B6" s="3">
        <f>Forecast!E8/(1+$B$2)^3</f>
        <v>222613635.8001502</v>
      </c>
    </row>
    <row r="7" spans="1:2">
      <c r="A7" s="2" t="s">
        <v>68</v>
      </c>
      <c r="B7" s="3">
        <f>Forecast!F8/(1+$B$2)^4</f>
        <v>212494834.17287073</v>
      </c>
    </row>
    <row r="8" spans="1:2">
      <c r="A8" s="2" t="s">
        <v>69</v>
      </c>
      <c r="B8" s="3">
        <f>Forecast!G8/(1+$B$2)^5</f>
        <v>202835978.0741038</v>
      </c>
    </row>
    <row r="9" spans="1:2">
      <c r="A9" s="2" t="s">
        <v>70</v>
      </c>
      <c r="B9" s="3">
        <f>Forecast!G8*(1+$B$3)</f>
        <v>336469452.17956877</v>
      </c>
    </row>
    <row r="10" spans="1:2">
      <c r="A10" s="2" t="s">
        <v>71</v>
      </c>
      <c r="B10" s="3">
        <f>$B$9/($B$2-$B$3)</f>
        <v>4806706459.708125</v>
      </c>
    </row>
    <row r="11" spans="1:2">
      <c r="A11" s="2" t="s">
        <v>72</v>
      </c>
      <c r="B11" s="3">
        <f>$B$10/(1+$B$2)^5</f>
        <v>2984586534.5189557</v>
      </c>
    </row>
    <row r="12" spans="1:2">
      <c r="A12" s="2" t="s">
        <v>73</v>
      </c>
      <c r="B12" s="3">
        <f>SUM($B$4:$B$8)+$B$11</f>
        <v>4100064994.9627743</v>
      </c>
    </row>
    <row r="13" spans="1:2">
      <c r="A13" s="2" t="s">
        <v>74</v>
      </c>
      <c r="B13" s="3">
        <f>'Historical Statements'!L4</f>
        <v>1481000000</v>
      </c>
    </row>
    <row r="14" spans="1:2">
      <c r="A14" s="2" t="s">
        <v>75</v>
      </c>
      <c r="B14" s="3">
        <f>'Historical Statements'!M4</f>
        <v>1849000000.0</v>
      </c>
    </row>
    <row r="15" spans="1:2">
      <c r="A15" s="2" t="s">
        <v>76</v>
      </c>
      <c r="B15" s="3">
        <f>$B$12+$B$13-$B$14</f>
        <v>3732064994.9627743</v>
      </c>
    </row>
    <row r="16" spans="1:2">
      <c r="A16" s="2" t="s">
        <v>77</v>
      </c>
      <c r="B16" s="4">
        <f>'Historical Statements'!Q4</f>
        <v>145000000</v>
      </c>
    </row>
    <row r="17" spans="1:2">
      <c r="A17" s="2" t="s">
        <v>78</v>
      </c>
      <c r="B17" s="3">
        <f>IFERROR($B$15/$B$16,"")</f>
        <v>25.73837927560534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7109375" customWidth="1"/>
    <col min="2" max="3" width="18.7109375" customWidth="1"/>
    <col min="4" max="4" width="14.7109375" customWidth="1"/>
    <col min="5" max="6" width="16.7109375" customWidth="1"/>
    <col min="7" max="7" width="44.7109375" customWidth="1"/>
  </cols>
  <sheetData>
    <row r="1" spans="1:7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>
      <c r="A2" s="2" t="s">
        <v>104</v>
      </c>
      <c r="B2" s="4">
        <v>136970000000</v>
      </c>
      <c r="C2" s="4">
        <v>137730000000</v>
      </c>
      <c r="D2" s="4">
        <v>37.77</v>
      </c>
      <c r="E2" s="4">
        <v>12.76</v>
      </c>
      <c r="F2" s="4">
        <v>41.03</v>
      </c>
      <c r="G2" s="2" t="s">
        <v>105</v>
      </c>
    </row>
    <row r="3" spans="1:7">
      <c r="A3" s="2" t="s">
        <v>106</v>
      </c>
      <c r="B3" s="4">
        <v>560170000000</v>
      </c>
      <c r="C3" s="4">
        <v>554340000000</v>
      </c>
      <c r="D3" s="4">
        <v>23.37</v>
      </c>
      <c r="E3" s="4">
        <v>9.640000000000001</v>
      </c>
      <c r="F3" s="4">
        <v>15.06</v>
      </c>
      <c r="G3" s="2" t="s">
        <v>105</v>
      </c>
    </row>
    <row r="4" spans="1:7">
      <c r="A4" s="2" t="s">
        <v>107</v>
      </c>
      <c r="B4" s="4">
        <v>131330000000</v>
      </c>
      <c r="C4" s="4">
        <v>135090000000</v>
      </c>
      <c r="D4" s="4">
        <v>66.04000000000001</v>
      </c>
      <c r="E4" s="4">
        <v>13.06</v>
      </c>
      <c r="F4" s="4">
        <v>47.37</v>
      </c>
      <c r="G4" s="2" t="s">
        <v>105</v>
      </c>
    </row>
    <row r="5" spans="1:7">
      <c r="A5" s="2" t="s">
        <v>108</v>
      </c>
      <c r="B5" s="2"/>
      <c r="C5" s="2"/>
      <c r="D5" s="2"/>
      <c r="E5" s="2"/>
      <c r="F5" s="2"/>
      <c r="G5" s="2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4.7109375" customWidth="1"/>
    <col min="2" max="6" width="16.7109375" customWidth="1"/>
  </cols>
  <sheetData>
    <row r="1" spans="1:6">
      <c r="A1" s="1" t="s">
        <v>110</v>
      </c>
      <c r="B1" s="1">
        <v>0.08</v>
      </c>
      <c r="C1" s="1">
        <v>0.09</v>
      </c>
      <c r="D1" s="1">
        <v>0.1</v>
      </c>
      <c r="E1" s="1">
        <v>0.11</v>
      </c>
      <c r="F1" s="1">
        <v>0.12</v>
      </c>
    </row>
    <row r="2" spans="1:6">
      <c r="A2" s="5">
        <v>0.01</v>
      </c>
      <c r="B2" s="3">
        <f>IF(B$1&gt;$A2,SUM(Forecast!C8/(1+B$1)^1,Forecast!D8/(1+B$1)^2,Forecast!E8/(1+B$1)^3,Forecast!F8/(1+B$1)^4,Forecast!G8/(1+B$1)^5)+Forecast!G8*(1+$A2)/(B$1-$A2)/(1+B$1)^5+DCF!$B$13-DCF!$B$14,"")</f>
        <v>4016833053.054983</v>
      </c>
      <c r="C2" s="3">
        <f>IF(C$1&gt;$A2,SUM(Forecast!C8/(1+C$1)^1,Forecast!D8/(1+C$1)^2,Forecast!E8/(1+C$1)^3,Forecast!F8/(1+C$1)^4,Forecast!G8/(1+C$1)^5)+Forecast!G8*(1+$A2)/(C$1-$A2)/(1+C$1)^5+DCF!$B$13-DCF!$B$14,"")</f>
        <v>3458032273.3337116</v>
      </c>
      <c r="D2" s="3">
        <f>IF(D$1&gt;$A2,SUM(Forecast!C8/(1+D$1)^1,Forecast!D8/(1+D$1)^2,Forecast!E8/(1+D$1)^3,Forecast!F8/(1+D$1)^4,Forecast!G8/(1+D$1)^5)+Forecast!G8*(1+$A2)/(D$1-$A2)/(1+D$1)^5+DCF!$B$13-DCF!$B$14,"")</f>
        <v>3023748881.0532055</v>
      </c>
      <c r="E2" s="3">
        <f>IF(E$1&gt;$A2,SUM(Forecast!C8/(1+E$1)^1,Forecast!D8/(1+E$1)^2,Forecast!E8/(1+E$1)^3,Forecast!F8/(1+E$1)^4,Forecast!G8/(1+E$1)^5)+Forecast!G8*(1+$A2)/(E$1-$A2)/(1+E$1)^5+DCF!$B$13-DCF!$B$14,"")</f>
        <v>2676613446.5742264</v>
      </c>
      <c r="F2" s="3">
        <f>IF(F$1&gt;$A2,SUM(Forecast!C8/(1+F$1)^1,Forecast!D8/(1+F$1)^2,Forecast!E8/(1+F$1)^3,Forecast!F8/(1+F$1)^4,Forecast!G8/(1+F$1)^5)+Forecast!G8*(1+$A2)/(F$1-$A2)/(1+F$1)^5+DCF!$B$13-DCF!$B$14,"")</f>
        <v>2392846150.8456135</v>
      </c>
    </row>
    <row r="3" spans="1:6">
      <c r="A3" s="5">
        <v>0.02</v>
      </c>
      <c r="B3" s="3">
        <f>IF(B$1&gt;$A3,SUM(Forecast!C8/(1+B$1)^1,Forecast!D8/(1+B$1)^2,Forecast!E8/(1+B$1)^3,Forecast!F8/(1+B$1)^4,Forecast!G8/(1+B$1)^5)+Forecast!G8*(1+$A3)/(B$1-$A3)/(1+B$1)^5+DCF!$B$13-DCF!$B$14,"")</f>
        <v>4588527671.42311</v>
      </c>
      <c r="C3" s="3">
        <f>IF(C$1&gt;$A3,SUM(Forecast!C8/(1+C$1)^1,Forecast!D8/(1+C$1)^2,Forecast!E8/(1+C$1)^3,Forecast!F8/(1+C$1)^4,Forecast!G8/(1+C$1)^5)+Forecast!G8*(1+$A3)/(C$1-$A3)/(1+C$1)^5+DCF!$B$13-DCF!$B$14,"")</f>
        <v>3871283734.2860394</v>
      </c>
      <c r="D3" s="3">
        <f>IF(D$1&gt;$A3,SUM(Forecast!C8/(1+D$1)^1,Forecast!D8/(1+D$1)^2,Forecast!E8/(1+D$1)^3,Forecast!F8/(1+D$1)^4,Forecast!G8/(1+D$1)^5)+Forecast!G8*(1+$A3)/(D$1-$A3)/(1+D$1)^5+DCF!$B$13-DCF!$B$14,"")</f>
        <v>3333637180.8886423</v>
      </c>
      <c r="E3" s="3">
        <f>IF(E$1&gt;$A3,SUM(Forecast!C8/(1+E$1)^1,Forecast!D8/(1+E$1)^2,Forecast!E8/(1+E$1)^3,Forecast!F8/(1+E$1)^4,Forecast!G8/(1+E$1)^5)+Forecast!G8*(1+$A3)/(E$1-$A3)/(1+E$1)^5+DCF!$B$13-DCF!$B$14,"")</f>
        <v>2915710372.1451883</v>
      </c>
      <c r="F3" s="3">
        <f>IF(F$1&gt;$A3,SUM(Forecast!C8/(1+F$1)^1,Forecast!D8/(1+F$1)^2,Forecast!E8/(1+F$1)^3,Forecast!F8/(1+F$1)^4,Forecast!G8/(1+F$1)^5)+Forecast!G8*(1+$A3)/(F$1-$A3)/(1+F$1)^5+DCF!$B$13-DCF!$B$14,"")</f>
        <v>2581577324.447631</v>
      </c>
    </row>
    <row r="4" spans="1:6">
      <c r="A4" s="5">
        <v>0.03</v>
      </c>
      <c r="B4" s="3">
        <f>IF(B$1&gt;$A4,SUM(Forecast!C8/(1+B$1)^1,Forecast!D8/(1+B$1)^2,Forecast!E8/(1+B$1)^3,Forecast!F8/(1+B$1)^4,Forecast!G8/(1+B$1)^5)+Forecast!G8*(1+$A4)/(B$1-$A4)/(1+B$1)^5+DCF!$B$13-DCF!$B$14,"")</f>
        <v>5388900137.138488</v>
      </c>
      <c r="C4" s="3">
        <f>IF(C$1&gt;$A4,SUM(Forecast!C8/(1+C$1)^1,Forecast!D8/(1+C$1)^2,Forecast!E8/(1+C$1)^3,Forecast!F8/(1+C$1)^4,Forecast!G8/(1+C$1)^5)+Forecast!G8*(1+$A4)/(C$1-$A4)/(1+C$1)^5+DCF!$B$13-DCF!$B$14,"")</f>
        <v>4422285682.222474</v>
      </c>
      <c r="D4" s="3">
        <f>IF(D$1&gt;$A4,SUM(Forecast!C8/(1+D$1)^1,Forecast!D8/(1+D$1)^2,Forecast!E8/(1+D$1)^3,Forecast!F8/(1+D$1)^4,Forecast!G8/(1+D$1)^5)+Forecast!G8*(1+$A4)/(D$1-$A4)/(1+D$1)^5+DCF!$B$13-DCF!$B$14,"")</f>
        <v>3732064994.9627743</v>
      </c>
      <c r="E4" s="3">
        <f>IF(E$1&gt;$A4,SUM(Forecast!C8/(1+E$1)^1,Forecast!D8/(1+E$1)^2,Forecast!E8/(1+E$1)^3,Forecast!F8/(1+E$1)^4,Forecast!G8/(1+E$1)^5)+Forecast!G8*(1+$A4)/(E$1-$A4)/(1+E$1)^5+DCF!$B$13-DCF!$B$14,"")</f>
        <v>3214581529.1088905</v>
      </c>
      <c r="F4" s="3">
        <f>IF(F$1&gt;$A4,SUM(Forecast!C8/(1+F$1)^1,Forecast!D8/(1+F$1)^2,Forecast!E8/(1+F$1)^3,Forecast!F8/(1+F$1)^4,Forecast!G8/(1+F$1)^5)+Forecast!G8*(1+$A4)/(F$1-$A4)/(1+F$1)^5+DCF!$B$13-DCF!$B$14,"")</f>
        <v>2812248758.8500967</v>
      </c>
    </row>
    <row r="5" spans="1:6">
      <c r="A5" s="5">
        <v>0.04</v>
      </c>
      <c r="B5" s="3">
        <f>IF(B$1&gt;$A5,SUM(Forecast!C8/(1+B$1)^1,Forecast!D8/(1+B$1)^2,Forecast!E8/(1+B$1)^3,Forecast!F8/(1+B$1)^4,Forecast!G8/(1+B$1)^5)+Forecast!G8*(1+$A5)/(B$1-$A5)/(1+B$1)^5+DCF!$B$13-DCF!$B$14,"")</f>
        <v>6589458835.711555</v>
      </c>
      <c r="C5" s="3">
        <f>IF(C$1&gt;$A5,SUM(Forecast!C8/(1+C$1)^1,Forecast!D8/(1+C$1)^2,Forecast!E8/(1+C$1)^3,Forecast!F8/(1+C$1)^4,Forecast!G8/(1+C$1)^5)+Forecast!G8*(1+$A5)/(C$1-$A5)/(1+C$1)^5+DCF!$B$13-DCF!$B$14,"")</f>
        <v>5193688409.333485</v>
      </c>
      <c r="D5" s="3">
        <f>IF(D$1&gt;$A5,SUM(Forecast!C8/(1+D$1)^1,Forecast!D8/(1+D$1)^2,Forecast!E8/(1+D$1)^3,Forecast!F8/(1+D$1)^4,Forecast!G8/(1+D$1)^5)+Forecast!G8*(1+$A5)/(D$1-$A5)/(1+D$1)^5+DCF!$B$13-DCF!$B$14,"")</f>
        <v>4263302080.394952</v>
      </c>
      <c r="E5" s="3">
        <f>IF(E$1&gt;$A5,SUM(Forecast!C8/(1+E$1)^1,Forecast!D8/(1+E$1)^2,Forecast!E8/(1+E$1)^3,Forecast!F8/(1+E$1)^4,Forecast!G8/(1+E$1)^5)+Forecast!G8*(1+$A5)/(E$1-$A5)/(1+E$1)^5+DCF!$B$13-DCF!$B$14,"")</f>
        <v>3598844445.20508</v>
      </c>
      <c r="F5" s="3">
        <f>IF(F$1&gt;$A5,SUM(Forecast!C8/(1+F$1)^1,Forecast!D8/(1+F$1)^2,Forecast!E8/(1+F$1)^3,Forecast!F8/(1+F$1)^4,Forecast!G8/(1+F$1)^5)+Forecast!G8*(1+$A5)/(F$1-$A5)/(1+F$1)^5+DCF!$B$13-DCF!$B$14,"")</f>
        <v>3100588051.853179</v>
      </c>
    </row>
    <row r="6" spans="1:6">
      <c r="A6" s="5">
        <v>0.05</v>
      </c>
      <c r="B6" s="3">
        <f>IF(B$1&gt;$A6,SUM(Forecast!C8/(1+B$1)^1,Forecast!D8/(1+B$1)^2,Forecast!E8/(1+B$1)^3,Forecast!F8/(1+B$1)^4,Forecast!G8/(1+B$1)^5)+Forecast!G8*(1+$A6)/(B$1-$A6)/(1+B$1)^5+DCF!$B$13-DCF!$B$14,"")</f>
        <v>8590389999.999998</v>
      </c>
      <c r="C6" s="3">
        <f>IF(C$1&gt;$A6,SUM(Forecast!C8/(1+C$1)^1,Forecast!D8/(1+C$1)^2,Forecast!E8/(1+C$1)^3,Forecast!F8/(1+C$1)^4,Forecast!G8/(1+C$1)^5)+Forecast!G8*(1+$A6)/(C$1-$A6)/(1+C$1)^5+DCF!$B$13-DCF!$B$14,"")</f>
        <v>6350792500.0</v>
      </c>
      <c r="D6" s="3">
        <f>IF(D$1&gt;$A6,SUM(Forecast!C8/(1+D$1)^1,Forecast!D8/(1+D$1)^2,Forecast!E8/(1+D$1)^3,Forecast!F8/(1+D$1)^4,Forecast!G8/(1+D$1)^5)+Forecast!G8*(1+$A6)/(D$1-$A6)/(1+D$1)^5+DCF!$B$13-DCF!$B$14,"")</f>
        <v>5007033999.999998</v>
      </c>
      <c r="E6" s="3">
        <f>IF(E$1&gt;$A6,SUM(Forecast!C8/(1+E$1)^1,Forecast!D8/(1+E$1)^2,Forecast!E8/(1+E$1)^3,Forecast!F8/(1+E$1)^4,Forecast!G8/(1+E$1)^5)+Forecast!G8*(1+$A6)/(E$1-$A6)/(1+E$1)^5+DCF!$B$13-DCF!$B$14,"")</f>
        <v>4111194999.999998</v>
      </c>
      <c r="F6" s="3">
        <f>IF(F$1&gt;$A6,SUM(Forecast!C8/(1+F$1)^1,Forecast!D8/(1+F$1)^2,Forecast!E8/(1+F$1)^3,Forecast!F8/(1+F$1)^4,Forecast!G8/(1+F$1)^5)+Forecast!G8*(1+$A6)/(F$1-$A6)/(1+F$1)^5+DCF!$B$13-DCF!$B$14,"")</f>
        <v>3471309999.999999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cols>
    <col min="1" max="1" width="18.7109375" customWidth="1"/>
    <col min="2" max="2" width="34.7109375" customWidth="1"/>
    <col min="3" max="3" width="16.7109375" customWidth="1"/>
    <col min="4" max="4" width="28.7109375" customWidth="1"/>
    <col min="5" max="5" width="44.7109375" customWidth="1"/>
  </cols>
  <sheetData>
    <row r="1" spans="1:5">
      <c r="A1" s="1" t="s">
        <v>111</v>
      </c>
      <c r="B1" s="1" t="s">
        <v>112</v>
      </c>
      <c r="C1" s="1" t="s">
        <v>113</v>
      </c>
      <c r="D1" s="1" t="s">
        <v>1</v>
      </c>
      <c r="E1" s="1" t="s">
        <v>103</v>
      </c>
    </row>
    <row r="2" spans="1:5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</row>
    <row r="3" spans="1: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</row>
    <row r="4" spans="1:5">
      <c r="A4" s="2" t="s">
        <v>114</v>
      </c>
      <c r="B4" s="2" t="s">
        <v>115</v>
      </c>
      <c r="C4" s="2" t="s">
        <v>119</v>
      </c>
      <c r="D4" s="2" t="s">
        <v>117</v>
      </c>
      <c r="E4" s="2" t="s">
        <v>118</v>
      </c>
    </row>
    <row r="5" spans="1:5">
      <c r="A5" s="2" t="s">
        <v>114</v>
      </c>
      <c r="B5" s="2" t="s">
        <v>115</v>
      </c>
      <c r="C5" s="2" t="s">
        <v>120</v>
      </c>
      <c r="D5" s="2" t="s">
        <v>117</v>
      </c>
      <c r="E5" s="2" t="s">
        <v>118</v>
      </c>
    </row>
    <row r="6" spans="1:5">
      <c r="A6" s="2" t="s">
        <v>114</v>
      </c>
      <c r="B6" s="2" t="s">
        <v>115</v>
      </c>
      <c r="C6" s="2" t="s">
        <v>121</v>
      </c>
      <c r="D6" s="2" t="s">
        <v>117</v>
      </c>
      <c r="E6" s="2" t="s">
        <v>118</v>
      </c>
    </row>
    <row r="7" spans="1:5">
      <c r="A7" s="2" t="s">
        <v>114</v>
      </c>
      <c r="B7" s="2" t="s">
        <v>115</v>
      </c>
      <c r="C7" s="2" t="s">
        <v>121</v>
      </c>
      <c r="D7" s="2" t="s">
        <v>117</v>
      </c>
      <c r="E7" s="2" t="s">
        <v>118</v>
      </c>
    </row>
    <row r="8" spans="1:5">
      <c r="A8" s="2" t="s">
        <v>114</v>
      </c>
      <c r="B8" s="2" t="s">
        <v>115</v>
      </c>
      <c r="C8" s="2" t="s">
        <v>121</v>
      </c>
      <c r="D8" s="2" t="s">
        <v>117</v>
      </c>
      <c r="E8" s="2" t="s">
        <v>118</v>
      </c>
    </row>
    <row r="9" spans="1:5">
      <c r="A9" s="2" t="s">
        <v>114</v>
      </c>
      <c r="B9" s="2" t="s">
        <v>115</v>
      </c>
      <c r="C9" s="2" t="s">
        <v>122</v>
      </c>
      <c r="D9" s="2" t="s">
        <v>117</v>
      </c>
      <c r="E9" s="2" t="s">
        <v>118</v>
      </c>
    </row>
    <row r="10" spans="1:5">
      <c r="A10" s="2" t="s">
        <v>114</v>
      </c>
      <c r="B10" s="2" t="s">
        <v>115</v>
      </c>
      <c r="C10" s="2" t="s">
        <v>123</v>
      </c>
      <c r="D10" s="2" t="s">
        <v>117</v>
      </c>
      <c r="E10" s="2" t="s">
        <v>118</v>
      </c>
    </row>
    <row r="11" spans="1:5">
      <c r="A11" s="2" t="s">
        <v>114</v>
      </c>
      <c r="B11" s="2" t="s">
        <v>115</v>
      </c>
      <c r="C11" s="2" t="s">
        <v>123</v>
      </c>
      <c r="D11" s="2" t="s">
        <v>117</v>
      </c>
      <c r="E11" s="2" t="s">
        <v>118</v>
      </c>
    </row>
    <row r="12" spans="1:5">
      <c r="A12" s="2" t="s">
        <v>114</v>
      </c>
      <c r="B12" s="2" t="s">
        <v>115</v>
      </c>
      <c r="C12" s="2" t="s">
        <v>123</v>
      </c>
      <c r="D12" s="2" t="s">
        <v>117</v>
      </c>
      <c r="E12" s="2" t="s">
        <v>118</v>
      </c>
    </row>
    <row r="13" spans="1:5">
      <c r="A13" s="2" t="s">
        <v>114</v>
      </c>
      <c r="B13" s="2" t="s">
        <v>115</v>
      </c>
      <c r="C13" s="2" t="s">
        <v>123</v>
      </c>
      <c r="D13" s="2" t="s">
        <v>117</v>
      </c>
      <c r="E13" s="2" t="s">
        <v>118</v>
      </c>
    </row>
    <row r="14" spans="1:5">
      <c r="A14" s="2" t="s">
        <v>114</v>
      </c>
      <c r="B14" s="2" t="s">
        <v>115</v>
      </c>
      <c r="C14" s="2" t="s">
        <v>124</v>
      </c>
      <c r="D14" s="2" t="s">
        <v>117</v>
      </c>
      <c r="E14" s="2" t="s">
        <v>118</v>
      </c>
    </row>
    <row r="15" spans="1:5">
      <c r="A15" s="2" t="s">
        <v>114</v>
      </c>
      <c r="B15" s="2" t="s">
        <v>115</v>
      </c>
      <c r="C15" s="2" t="s">
        <v>125</v>
      </c>
      <c r="D15" s="2" t="s">
        <v>117</v>
      </c>
      <c r="E15" s="2" t="s">
        <v>118</v>
      </c>
    </row>
    <row r="16" spans="1:5">
      <c r="A16" s="2" t="s">
        <v>114</v>
      </c>
      <c r="B16" s="2" t="s">
        <v>126</v>
      </c>
      <c r="C16" s="2" t="s">
        <v>125</v>
      </c>
      <c r="D16" s="2" t="s">
        <v>117</v>
      </c>
      <c r="E16" s="2" t="s">
        <v>118</v>
      </c>
    </row>
    <row r="17" spans="1:5">
      <c r="A17" s="2" t="s">
        <v>114</v>
      </c>
      <c r="B17" s="2" t="s">
        <v>115</v>
      </c>
      <c r="C17" s="2" t="s">
        <v>127</v>
      </c>
      <c r="D17" s="2" t="s">
        <v>117</v>
      </c>
      <c r="E17" s="2" t="s">
        <v>118</v>
      </c>
    </row>
    <row r="18" spans="1:5">
      <c r="A18" s="2" t="s">
        <v>114</v>
      </c>
      <c r="B18" s="2" t="s">
        <v>115</v>
      </c>
      <c r="C18" s="2" t="s">
        <v>128</v>
      </c>
      <c r="D18" s="2" t="s">
        <v>117</v>
      </c>
      <c r="E18" s="2" t="s">
        <v>118</v>
      </c>
    </row>
    <row r="19" spans="1:5">
      <c r="A19" s="2" t="s">
        <v>114</v>
      </c>
      <c r="B19" s="2" t="s">
        <v>115</v>
      </c>
      <c r="C19" s="2" t="s">
        <v>129</v>
      </c>
      <c r="D19" s="2" t="s">
        <v>117</v>
      </c>
      <c r="E19" s="2" t="s">
        <v>118</v>
      </c>
    </row>
    <row r="20" spans="1:5">
      <c r="A20" s="2" t="s">
        <v>114</v>
      </c>
      <c r="B20" s="2" t="s">
        <v>115</v>
      </c>
      <c r="C20" s="2" t="s">
        <v>129</v>
      </c>
      <c r="D20" s="2" t="s">
        <v>117</v>
      </c>
      <c r="E20" s="2" t="s">
        <v>118</v>
      </c>
    </row>
    <row r="21" spans="1:5">
      <c r="A21" s="2" t="s">
        <v>114</v>
      </c>
      <c r="B21" s="2" t="s">
        <v>115</v>
      </c>
      <c r="C21" s="2" t="s">
        <v>129</v>
      </c>
      <c r="D21" s="2" t="s">
        <v>117</v>
      </c>
      <c r="E21" s="2" t="s">
        <v>118</v>
      </c>
    </row>
    <row r="22" spans="1:5">
      <c r="A22" s="2" t="s">
        <v>114</v>
      </c>
      <c r="B22" s="2" t="s">
        <v>115</v>
      </c>
      <c r="C22" s="2" t="s">
        <v>130</v>
      </c>
      <c r="D22" s="2" t="s">
        <v>117</v>
      </c>
      <c r="E22" s="2" t="s">
        <v>118</v>
      </c>
    </row>
    <row r="23" spans="1:5">
      <c r="A23" s="2" t="s">
        <v>114</v>
      </c>
      <c r="B23" s="2" t="s">
        <v>115</v>
      </c>
      <c r="C23" s="2" t="s">
        <v>130</v>
      </c>
      <c r="D23" s="2" t="s">
        <v>117</v>
      </c>
      <c r="E23" s="2" t="s">
        <v>118</v>
      </c>
    </row>
    <row r="24" spans="1:5">
      <c r="A24" s="2" t="s">
        <v>114</v>
      </c>
      <c r="B24" s="2" t="s">
        <v>115</v>
      </c>
      <c r="C24" s="2" t="s">
        <v>130</v>
      </c>
      <c r="D24" s="2" t="s">
        <v>117</v>
      </c>
      <c r="E24" s="2" t="s">
        <v>118</v>
      </c>
    </row>
    <row r="25" spans="1:5">
      <c r="A25" s="2" t="s">
        <v>114</v>
      </c>
      <c r="B25" s="2" t="s">
        <v>115</v>
      </c>
      <c r="C25" s="2" t="s">
        <v>130</v>
      </c>
      <c r="D25" s="2" t="s">
        <v>117</v>
      </c>
      <c r="E25" s="2" t="s">
        <v>118</v>
      </c>
    </row>
    <row r="26" spans="1:5">
      <c r="A26" s="2" t="s">
        <v>114</v>
      </c>
      <c r="B26" s="2" t="s">
        <v>115</v>
      </c>
      <c r="C26" s="2" t="s">
        <v>130</v>
      </c>
      <c r="D26" s="2" t="s">
        <v>117</v>
      </c>
      <c r="E26" s="2" t="s">
        <v>118</v>
      </c>
    </row>
    <row r="27" spans="1:5">
      <c r="A27" s="2" t="s">
        <v>114</v>
      </c>
      <c r="B27" s="2" t="s">
        <v>115</v>
      </c>
      <c r="C27" s="2" t="s">
        <v>131</v>
      </c>
      <c r="D27" s="2" t="s">
        <v>117</v>
      </c>
      <c r="E27" s="2" t="s">
        <v>118</v>
      </c>
    </row>
    <row r="28" spans="1:5">
      <c r="A28" s="2" t="s">
        <v>114</v>
      </c>
      <c r="B28" s="2" t="s">
        <v>115</v>
      </c>
      <c r="C28" s="2" t="s">
        <v>131</v>
      </c>
      <c r="D28" s="2" t="s">
        <v>117</v>
      </c>
      <c r="E28" s="2" t="s">
        <v>118</v>
      </c>
    </row>
    <row r="29" spans="1:5">
      <c r="A29" s="2" t="s">
        <v>114</v>
      </c>
      <c r="B29" s="2" t="s">
        <v>115</v>
      </c>
      <c r="C29" s="2" t="s">
        <v>131</v>
      </c>
      <c r="D29" s="2" t="s">
        <v>117</v>
      </c>
      <c r="E29" s="2" t="s">
        <v>118</v>
      </c>
    </row>
    <row r="30" spans="1:5">
      <c r="A30" s="2" t="s">
        <v>114</v>
      </c>
      <c r="B30" s="2" t="s">
        <v>115</v>
      </c>
      <c r="C30" s="2" t="s">
        <v>131</v>
      </c>
      <c r="D30" s="2" t="s">
        <v>117</v>
      </c>
      <c r="E30" s="2" t="s">
        <v>118</v>
      </c>
    </row>
    <row r="31" spans="1:5">
      <c r="A31" s="2" t="s">
        <v>114</v>
      </c>
      <c r="B31" s="2" t="s">
        <v>115</v>
      </c>
      <c r="C31" s="2" t="s">
        <v>131</v>
      </c>
      <c r="D31" s="2" t="s">
        <v>117</v>
      </c>
      <c r="E31" s="2" t="s">
        <v>118</v>
      </c>
    </row>
    <row r="32" spans="1:5">
      <c r="A32" s="2" t="s">
        <v>114</v>
      </c>
      <c r="B32" s="2" t="s">
        <v>115</v>
      </c>
      <c r="C32" s="2" t="s">
        <v>131</v>
      </c>
      <c r="D32" s="2" t="s">
        <v>117</v>
      </c>
      <c r="E32" s="2" t="s">
        <v>118</v>
      </c>
    </row>
    <row r="33" spans="1:5">
      <c r="A33" s="2" t="s">
        <v>114</v>
      </c>
      <c r="B33" s="2" t="s">
        <v>115</v>
      </c>
      <c r="C33" s="2" t="s">
        <v>132</v>
      </c>
      <c r="D33" s="2" t="s">
        <v>117</v>
      </c>
      <c r="E33" s="2" t="s">
        <v>118</v>
      </c>
    </row>
    <row r="34" spans="1:5">
      <c r="A34" s="2" t="s">
        <v>114</v>
      </c>
      <c r="B34" s="2" t="s">
        <v>115</v>
      </c>
      <c r="C34" s="2" t="s">
        <v>133</v>
      </c>
      <c r="D34" s="2" t="s">
        <v>117</v>
      </c>
      <c r="E34" s="2" t="s">
        <v>118</v>
      </c>
    </row>
    <row r="35" spans="1:5">
      <c r="A35" s="2" t="s">
        <v>114</v>
      </c>
      <c r="B35" s="2" t="s">
        <v>115</v>
      </c>
      <c r="C35" s="2" t="s">
        <v>134</v>
      </c>
      <c r="D35" s="2" t="s">
        <v>117</v>
      </c>
      <c r="E35" s="2" t="s">
        <v>118</v>
      </c>
    </row>
    <row r="36" spans="1:5">
      <c r="A36" s="2" t="s">
        <v>114</v>
      </c>
      <c r="B36" s="2" t="s">
        <v>115</v>
      </c>
      <c r="C36" s="2" t="s">
        <v>134</v>
      </c>
      <c r="D36" s="2" t="s">
        <v>117</v>
      </c>
      <c r="E36" s="2" t="s">
        <v>118</v>
      </c>
    </row>
    <row r="37" spans="1:5">
      <c r="A37" s="2" t="s">
        <v>114</v>
      </c>
      <c r="B37" s="2" t="s">
        <v>115</v>
      </c>
      <c r="C37" s="2" t="s">
        <v>134</v>
      </c>
      <c r="D37" s="2" t="s">
        <v>117</v>
      </c>
      <c r="E37" s="2" t="s">
        <v>118</v>
      </c>
    </row>
    <row r="38" spans="1:5">
      <c r="A38" s="2" t="s">
        <v>114</v>
      </c>
      <c r="B38" s="2" t="s">
        <v>115</v>
      </c>
      <c r="C38" s="2" t="s">
        <v>134</v>
      </c>
      <c r="D38" s="2" t="s">
        <v>117</v>
      </c>
      <c r="E38" s="2" t="s">
        <v>118</v>
      </c>
    </row>
    <row r="39" spans="1:5">
      <c r="A39" s="2" t="s">
        <v>114</v>
      </c>
      <c r="B39" s="2" t="s">
        <v>115</v>
      </c>
      <c r="C39" s="2" t="s">
        <v>134</v>
      </c>
      <c r="D39" s="2" t="s">
        <v>117</v>
      </c>
      <c r="E39" s="2" t="s">
        <v>118</v>
      </c>
    </row>
    <row r="40" spans="1:5">
      <c r="A40" s="2" t="s">
        <v>114</v>
      </c>
      <c r="B40" s="2" t="s">
        <v>115</v>
      </c>
      <c r="C40" s="2" t="s">
        <v>135</v>
      </c>
      <c r="D40" s="2" t="s">
        <v>117</v>
      </c>
      <c r="E40" s="2" t="s">
        <v>118</v>
      </c>
    </row>
    <row r="41" spans="1:5">
      <c r="A41" s="2" t="s">
        <v>114</v>
      </c>
      <c r="B41" s="2" t="s">
        <v>115</v>
      </c>
      <c r="C41" s="2" t="s">
        <v>135</v>
      </c>
      <c r="D41" s="2" t="s">
        <v>117</v>
      </c>
      <c r="E41" s="2" t="s">
        <v>118</v>
      </c>
    </row>
    <row r="42" spans="1:5">
      <c r="A42" s="2" t="s">
        <v>114</v>
      </c>
      <c r="B42" s="2" t="s">
        <v>115</v>
      </c>
      <c r="C42" s="2" t="s">
        <v>135</v>
      </c>
      <c r="D42" s="2" t="s">
        <v>117</v>
      </c>
      <c r="E42" s="2" t="s">
        <v>118</v>
      </c>
    </row>
    <row r="43" spans="1:5">
      <c r="A43" s="2" t="s">
        <v>114</v>
      </c>
      <c r="B43" s="2" t="s">
        <v>115</v>
      </c>
      <c r="C43" s="2" t="s">
        <v>136</v>
      </c>
      <c r="D43" s="2" t="s">
        <v>117</v>
      </c>
      <c r="E43" s="2" t="s">
        <v>118</v>
      </c>
    </row>
    <row r="44" spans="1:5">
      <c r="A44" s="2" t="s">
        <v>114</v>
      </c>
      <c r="B44" s="2" t="s">
        <v>115</v>
      </c>
      <c r="C44" s="2" t="s">
        <v>136</v>
      </c>
      <c r="D44" s="2" t="s">
        <v>117</v>
      </c>
      <c r="E44" s="2" t="s">
        <v>118</v>
      </c>
    </row>
    <row r="45" spans="1:5">
      <c r="A45" s="2" t="s">
        <v>114</v>
      </c>
      <c r="B45" s="2" t="s">
        <v>115</v>
      </c>
      <c r="C45" s="2" t="s">
        <v>136</v>
      </c>
      <c r="D45" s="2" t="s">
        <v>117</v>
      </c>
      <c r="E45" s="2" t="s">
        <v>118</v>
      </c>
    </row>
    <row r="46" spans="1:5">
      <c r="A46" s="2" t="s">
        <v>114</v>
      </c>
      <c r="B46" s="2" t="s">
        <v>115</v>
      </c>
      <c r="C46" s="2" t="s">
        <v>136</v>
      </c>
      <c r="D46" s="2" t="s">
        <v>117</v>
      </c>
      <c r="E46" s="2" t="s">
        <v>118</v>
      </c>
    </row>
    <row r="47" spans="1:5">
      <c r="A47" s="2" t="s">
        <v>114</v>
      </c>
      <c r="B47" s="2" t="s">
        <v>115</v>
      </c>
      <c r="C47" s="2" t="s">
        <v>137</v>
      </c>
      <c r="D47" s="2" t="s">
        <v>117</v>
      </c>
      <c r="E47" s="2" t="s">
        <v>118</v>
      </c>
    </row>
    <row r="48" spans="1:5">
      <c r="A48" s="2" t="s">
        <v>114</v>
      </c>
      <c r="B48" s="2" t="s">
        <v>115</v>
      </c>
      <c r="C48" s="2" t="s">
        <v>138</v>
      </c>
      <c r="D48" s="2" t="s">
        <v>117</v>
      </c>
      <c r="E48" s="2" t="s">
        <v>118</v>
      </c>
    </row>
    <row r="49" spans="1:5">
      <c r="A49" s="2" t="s">
        <v>114</v>
      </c>
      <c r="B49" s="2" t="s">
        <v>115</v>
      </c>
      <c r="C49" s="2" t="s">
        <v>139</v>
      </c>
      <c r="D49" s="2" t="s">
        <v>117</v>
      </c>
      <c r="E49" s="2" t="s">
        <v>118</v>
      </c>
    </row>
    <row r="50" spans="1:5">
      <c r="A50" s="2" t="s">
        <v>114</v>
      </c>
      <c r="B50" s="2" t="s">
        <v>115</v>
      </c>
      <c r="C50" s="2" t="s">
        <v>140</v>
      </c>
      <c r="D50" s="2" t="s">
        <v>117</v>
      </c>
      <c r="E50" s="2" t="s">
        <v>118</v>
      </c>
    </row>
    <row r="51" spans="1:5">
      <c r="A51" s="2" t="s">
        <v>114</v>
      </c>
      <c r="B51" s="2" t="s">
        <v>115</v>
      </c>
      <c r="C51" s="2" t="s">
        <v>140</v>
      </c>
      <c r="D51" s="2" t="s">
        <v>117</v>
      </c>
      <c r="E51" s="2" t="s">
        <v>118</v>
      </c>
    </row>
    <row r="52" spans="1:5">
      <c r="A52" s="2" t="s">
        <v>114</v>
      </c>
      <c r="B52" s="2" t="s">
        <v>115</v>
      </c>
      <c r="C52" s="2" t="s">
        <v>140</v>
      </c>
      <c r="D52" s="2" t="s">
        <v>117</v>
      </c>
      <c r="E52" s="2" t="s">
        <v>118</v>
      </c>
    </row>
    <row r="53" spans="1:5">
      <c r="A53" s="2" t="s">
        <v>114</v>
      </c>
      <c r="B53" s="2" t="s">
        <v>115</v>
      </c>
      <c r="C53" s="2" t="s">
        <v>141</v>
      </c>
      <c r="D53" s="2" t="s">
        <v>117</v>
      </c>
      <c r="E53" s="2" t="s">
        <v>118</v>
      </c>
    </row>
    <row r="54" spans="1:5">
      <c r="A54" s="2" t="s">
        <v>114</v>
      </c>
      <c r="B54" s="2" t="s">
        <v>115</v>
      </c>
      <c r="C54" s="2" t="s">
        <v>141</v>
      </c>
      <c r="D54" s="2" t="s">
        <v>117</v>
      </c>
      <c r="E54" s="2" t="s">
        <v>118</v>
      </c>
    </row>
    <row r="55" spans="1:5">
      <c r="A55" s="2" t="s">
        <v>114</v>
      </c>
      <c r="B55" s="2" t="s">
        <v>115</v>
      </c>
      <c r="C55" s="2" t="s">
        <v>141</v>
      </c>
      <c r="D55" s="2" t="s">
        <v>117</v>
      </c>
      <c r="E55" s="2" t="s">
        <v>118</v>
      </c>
    </row>
    <row r="56" spans="1:5">
      <c r="A56" s="2" t="s">
        <v>114</v>
      </c>
      <c r="B56" s="2" t="s">
        <v>115</v>
      </c>
      <c r="C56" s="2" t="s">
        <v>142</v>
      </c>
      <c r="D56" s="2" t="s">
        <v>117</v>
      </c>
      <c r="E56" s="2" t="s">
        <v>118</v>
      </c>
    </row>
    <row r="57" spans="1:5">
      <c r="A57" s="2" t="s">
        <v>114</v>
      </c>
      <c r="B57" s="2" t="s">
        <v>115</v>
      </c>
      <c r="C57" s="2" t="s">
        <v>142</v>
      </c>
      <c r="D57" s="2" t="s">
        <v>117</v>
      </c>
      <c r="E57" s="2" t="s">
        <v>118</v>
      </c>
    </row>
    <row r="58" spans="1:5">
      <c r="A58" s="2" t="s">
        <v>114</v>
      </c>
      <c r="B58" s="2" t="s">
        <v>115</v>
      </c>
      <c r="C58" s="2" t="s">
        <v>142</v>
      </c>
      <c r="D58" s="2" t="s">
        <v>117</v>
      </c>
      <c r="E58" s="2" t="s">
        <v>118</v>
      </c>
    </row>
    <row r="59" spans="1:5">
      <c r="A59" s="2" t="s">
        <v>114</v>
      </c>
      <c r="B59" s="2" t="s">
        <v>115</v>
      </c>
      <c r="C59" s="2" t="s">
        <v>142</v>
      </c>
      <c r="D59" s="2" t="s">
        <v>117</v>
      </c>
      <c r="E59" s="2" t="s">
        <v>118</v>
      </c>
    </row>
    <row r="60" spans="1:5">
      <c r="A60" s="2" t="s">
        <v>114</v>
      </c>
      <c r="B60" s="2" t="s">
        <v>115</v>
      </c>
      <c r="C60" s="2" t="s">
        <v>142</v>
      </c>
      <c r="D60" s="2" t="s">
        <v>117</v>
      </c>
      <c r="E60" s="2" t="s">
        <v>118</v>
      </c>
    </row>
    <row r="61" spans="1:5">
      <c r="A61" s="2" t="s">
        <v>114</v>
      </c>
      <c r="B61" s="2" t="s">
        <v>115</v>
      </c>
      <c r="C61" s="2" t="s">
        <v>143</v>
      </c>
      <c r="D61" s="2" t="s">
        <v>117</v>
      </c>
      <c r="E61" s="2" t="s">
        <v>118</v>
      </c>
    </row>
    <row r="62" spans="1:5">
      <c r="A62" s="2" t="s">
        <v>114</v>
      </c>
      <c r="B62" s="2" t="s">
        <v>115</v>
      </c>
      <c r="C62" s="2" t="s">
        <v>143</v>
      </c>
      <c r="D62" s="2" t="s">
        <v>117</v>
      </c>
      <c r="E62" s="2" t="s">
        <v>118</v>
      </c>
    </row>
    <row r="63" spans="1:5">
      <c r="A63" s="2" t="s">
        <v>114</v>
      </c>
      <c r="B63" s="2" t="s">
        <v>115</v>
      </c>
      <c r="C63" s="2" t="s">
        <v>144</v>
      </c>
      <c r="D63" s="2" t="s">
        <v>117</v>
      </c>
      <c r="E63" s="2" t="s">
        <v>118</v>
      </c>
    </row>
    <row r="64" spans="1:5">
      <c r="A64" s="2" t="s">
        <v>114</v>
      </c>
      <c r="B64" s="2" t="s">
        <v>115</v>
      </c>
      <c r="C64" s="2" t="s">
        <v>144</v>
      </c>
      <c r="D64" s="2" t="s">
        <v>117</v>
      </c>
      <c r="E64" s="2" t="s">
        <v>118</v>
      </c>
    </row>
    <row r="65" spans="1:5">
      <c r="A65" s="2" t="s">
        <v>114</v>
      </c>
      <c r="B65" s="2" t="s">
        <v>115</v>
      </c>
      <c r="C65" s="2" t="s">
        <v>145</v>
      </c>
      <c r="D65" s="2" t="s">
        <v>117</v>
      </c>
      <c r="E65" s="2" t="s">
        <v>118</v>
      </c>
    </row>
    <row r="66" spans="1:5">
      <c r="A66" s="2" t="s">
        <v>114</v>
      </c>
      <c r="B66" s="2" t="s">
        <v>115</v>
      </c>
      <c r="C66" s="2" t="s">
        <v>145</v>
      </c>
      <c r="D66" s="2" t="s">
        <v>117</v>
      </c>
      <c r="E66" s="2" t="s">
        <v>118</v>
      </c>
    </row>
    <row r="67" spans="1:5">
      <c r="A67" s="2" t="s">
        <v>114</v>
      </c>
      <c r="B67" s="2" t="s">
        <v>126</v>
      </c>
      <c r="C67" s="2" t="s">
        <v>145</v>
      </c>
      <c r="D67" s="2" t="s">
        <v>117</v>
      </c>
      <c r="E67" s="2" t="s">
        <v>118</v>
      </c>
    </row>
    <row r="68" spans="1:5">
      <c r="A68" s="2" t="s">
        <v>114</v>
      </c>
      <c r="B68" s="2" t="s">
        <v>126</v>
      </c>
      <c r="C68" s="2" t="s">
        <v>145</v>
      </c>
      <c r="D68" s="2" t="s">
        <v>117</v>
      </c>
      <c r="E68" s="2" t="s">
        <v>118</v>
      </c>
    </row>
    <row r="69" spans="1:5">
      <c r="A69" s="2" t="s">
        <v>114</v>
      </c>
      <c r="B69" s="2" t="s">
        <v>126</v>
      </c>
      <c r="C69" s="2" t="s">
        <v>145</v>
      </c>
      <c r="D69" s="2" t="s">
        <v>117</v>
      </c>
      <c r="E69" s="2" t="s">
        <v>118</v>
      </c>
    </row>
    <row r="70" spans="1:5">
      <c r="A70" s="2" t="s">
        <v>114</v>
      </c>
      <c r="B70" s="2" t="s">
        <v>115</v>
      </c>
      <c r="C70" s="2" t="s">
        <v>146</v>
      </c>
      <c r="D70" s="2" t="s">
        <v>117</v>
      </c>
      <c r="E70" s="2" t="s">
        <v>118</v>
      </c>
    </row>
    <row r="71" spans="1:5">
      <c r="A71" s="2" t="s">
        <v>114</v>
      </c>
      <c r="B71" s="2" t="s">
        <v>115</v>
      </c>
      <c r="C71" s="2" t="s">
        <v>146</v>
      </c>
      <c r="D71" s="2" t="s">
        <v>117</v>
      </c>
      <c r="E71" s="2" t="s">
        <v>118</v>
      </c>
    </row>
    <row r="72" spans="1:5">
      <c r="A72" s="2" t="s">
        <v>114</v>
      </c>
      <c r="B72" s="2" t="s">
        <v>115</v>
      </c>
      <c r="C72" s="2" t="s">
        <v>146</v>
      </c>
      <c r="D72" s="2" t="s">
        <v>117</v>
      </c>
      <c r="E72" s="2" t="s">
        <v>118</v>
      </c>
    </row>
    <row r="73" spans="1:5">
      <c r="A73" s="2" t="s">
        <v>114</v>
      </c>
      <c r="B73" s="2" t="s">
        <v>115</v>
      </c>
      <c r="C73" s="2" t="s">
        <v>146</v>
      </c>
      <c r="D73" s="2" t="s">
        <v>117</v>
      </c>
      <c r="E73" s="2" t="s">
        <v>118</v>
      </c>
    </row>
    <row r="74" spans="1:5">
      <c r="A74" s="2" t="s">
        <v>114</v>
      </c>
      <c r="B74" s="2" t="s">
        <v>115</v>
      </c>
      <c r="C74" s="2" t="s">
        <v>146</v>
      </c>
      <c r="D74" s="2" t="s">
        <v>117</v>
      </c>
      <c r="E74" s="2" t="s">
        <v>118</v>
      </c>
    </row>
    <row r="75" spans="1:5">
      <c r="A75" s="2" t="s">
        <v>114</v>
      </c>
      <c r="B75" s="2" t="s">
        <v>115</v>
      </c>
      <c r="C75" s="2" t="s">
        <v>146</v>
      </c>
      <c r="D75" s="2" t="s">
        <v>117</v>
      </c>
      <c r="E75" s="2" t="s">
        <v>118</v>
      </c>
    </row>
    <row r="76" spans="1:5">
      <c r="A76" s="2" t="s">
        <v>114</v>
      </c>
      <c r="B76" s="2" t="s">
        <v>115</v>
      </c>
      <c r="C76" s="2" t="s">
        <v>146</v>
      </c>
      <c r="D76" s="2" t="s">
        <v>117</v>
      </c>
      <c r="E76" s="2" t="s">
        <v>118</v>
      </c>
    </row>
    <row r="77" spans="1:5">
      <c r="A77" s="2" t="s">
        <v>114</v>
      </c>
      <c r="B77" s="2" t="s">
        <v>115</v>
      </c>
      <c r="C77" s="2" t="s">
        <v>146</v>
      </c>
      <c r="D77" s="2" t="s">
        <v>117</v>
      </c>
      <c r="E77" s="2" t="s">
        <v>118</v>
      </c>
    </row>
    <row r="78" spans="1:5">
      <c r="A78" s="2" t="s">
        <v>114</v>
      </c>
      <c r="B78" s="2" t="s">
        <v>126</v>
      </c>
      <c r="C78" s="2" t="s">
        <v>147</v>
      </c>
      <c r="D78" s="2" t="s">
        <v>117</v>
      </c>
      <c r="E78" s="2" t="s">
        <v>118</v>
      </c>
    </row>
    <row r="79" spans="1:5">
      <c r="A79" s="2" t="s">
        <v>114</v>
      </c>
      <c r="B79" s="2" t="s">
        <v>126</v>
      </c>
      <c r="C79" s="2" t="s">
        <v>147</v>
      </c>
      <c r="D79" s="2" t="s">
        <v>117</v>
      </c>
      <c r="E79" s="2" t="s">
        <v>118</v>
      </c>
    </row>
    <row r="80" spans="1:5">
      <c r="A80" s="2" t="s">
        <v>114</v>
      </c>
      <c r="B80" s="2" t="s">
        <v>126</v>
      </c>
      <c r="C80" s="2" t="s">
        <v>147</v>
      </c>
      <c r="D80" s="2" t="s">
        <v>117</v>
      </c>
      <c r="E80" s="2" t="s">
        <v>118</v>
      </c>
    </row>
    <row r="81" spans="1:5">
      <c r="A81" s="2" t="s">
        <v>114</v>
      </c>
      <c r="B81" s="2" t="s">
        <v>126</v>
      </c>
      <c r="C81" s="2" t="s">
        <v>147</v>
      </c>
      <c r="D81" s="2" t="s">
        <v>117</v>
      </c>
      <c r="E81" s="2" t="s">
        <v>118</v>
      </c>
    </row>
    <row r="82" spans="1:5">
      <c r="A82" s="2" t="s">
        <v>114</v>
      </c>
      <c r="B82" s="2" t="s">
        <v>115</v>
      </c>
      <c r="C82" s="2" t="s">
        <v>148</v>
      </c>
      <c r="D82" s="2" t="s">
        <v>117</v>
      </c>
      <c r="E82" s="2" t="s">
        <v>118</v>
      </c>
    </row>
    <row r="83" spans="1:5">
      <c r="A83" s="2" t="s">
        <v>114</v>
      </c>
      <c r="B83" s="2" t="s">
        <v>115</v>
      </c>
      <c r="C83" s="2" t="s">
        <v>148</v>
      </c>
      <c r="D83" s="2" t="s">
        <v>117</v>
      </c>
      <c r="E83" s="2" t="s">
        <v>118</v>
      </c>
    </row>
    <row r="84" spans="1:5">
      <c r="A84" s="2" t="s">
        <v>114</v>
      </c>
      <c r="B84" s="2" t="s">
        <v>115</v>
      </c>
      <c r="C84" s="2" t="s">
        <v>148</v>
      </c>
      <c r="D84" s="2" t="s">
        <v>117</v>
      </c>
      <c r="E84" s="2" t="s">
        <v>118</v>
      </c>
    </row>
    <row r="85" spans="1:5">
      <c r="A85" s="2" t="s">
        <v>114</v>
      </c>
      <c r="B85" s="2" t="s">
        <v>115</v>
      </c>
      <c r="C85" s="2" t="s">
        <v>148</v>
      </c>
      <c r="D85" s="2" t="s">
        <v>117</v>
      </c>
      <c r="E85" s="2" t="s">
        <v>118</v>
      </c>
    </row>
    <row r="86" spans="1:5">
      <c r="A86" s="2" t="s">
        <v>114</v>
      </c>
      <c r="B86" s="2" t="s">
        <v>115</v>
      </c>
      <c r="C86" s="2" t="s">
        <v>149</v>
      </c>
      <c r="D86" s="2" t="s">
        <v>117</v>
      </c>
      <c r="E86" s="2" t="s">
        <v>118</v>
      </c>
    </row>
    <row r="87" spans="1:5">
      <c r="A87" s="2" t="s">
        <v>114</v>
      </c>
      <c r="B87" s="2" t="s">
        <v>126</v>
      </c>
      <c r="C87" s="2" t="s">
        <v>150</v>
      </c>
      <c r="D87" s="2" t="s">
        <v>117</v>
      </c>
      <c r="E87" s="2" t="s">
        <v>118</v>
      </c>
    </row>
    <row r="88" spans="1:5">
      <c r="A88" s="2" t="s">
        <v>114</v>
      </c>
      <c r="B88" s="2" t="s">
        <v>126</v>
      </c>
      <c r="C88" s="2" t="s">
        <v>150</v>
      </c>
      <c r="D88" s="2" t="s">
        <v>117</v>
      </c>
      <c r="E88" s="2" t="s">
        <v>118</v>
      </c>
    </row>
    <row r="89" spans="1:5">
      <c r="A89" s="2" t="s">
        <v>114</v>
      </c>
      <c r="B89" s="2" t="s">
        <v>126</v>
      </c>
      <c r="C89" s="2" t="s">
        <v>150</v>
      </c>
      <c r="D89" s="2" t="s">
        <v>117</v>
      </c>
      <c r="E89" s="2" t="s">
        <v>118</v>
      </c>
    </row>
    <row r="90" spans="1:5">
      <c r="A90" s="2" t="s">
        <v>114</v>
      </c>
      <c r="B90" s="2" t="s">
        <v>126</v>
      </c>
      <c r="C90" s="2" t="s">
        <v>150</v>
      </c>
      <c r="D90" s="2" t="s">
        <v>117</v>
      </c>
      <c r="E90" s="2" t="s">
        <v>118</v>
      </c>
    </row>
    <row r="91" spans="1:5">
      <c r="A91" s="2" t="s">
        <v>114</v>
      </c>
      <c r="B91" s="2" t="s">
        <v>126</v>
      </c>
      <c r="C91" s="2" t="s">
        <v>150</v>
      </c>
      <c r="D91" s="2" t="s">
        <v>117</v>
      </c>
      <c r="E91" s="2" t="s">
        <v>118</v>
      </c>
    </row>
    <row r="92" spans="1:5">
      <c r="A92" s="2" t="s">
        <v>114</v>
      </c>
      <c r="B92" s="2" t="s">
        <v>126</v>
      </c>
      <c r="C92" s="2" t="s">
        <v>150</v>
      </c>
      <c r="D92" s="2" t="s">
        <v>117</v>
      </c>
      <c r="E92" s="2" t="s">
        <v>118</v>
      </c>
    </row>
    <row r="93" spans="1:5">
      <c r="A93" s="2" t="s">
        <v>114</v>
      </c>
      <c r="B93" s="2" t="s">
        <v>126</v>
      </c>
      <c r="C93" s="2" t="s">
        <v>150</v>
      </c>
      <c r="D93" s="2" t="s">
        <v>117</v>
      </c>
      <c r="E93" s="2" t="s">
        <v>118</v>
      </c>
    </row>
    <row r="94" spans="1:5">
      <c r="A94" s="2" t="s">
        <v>151</v>
      </c>
      <c r="B94" s="2" t="s">
        <v>152</v>
      </c>
      <c r="C94" s="2" t="s">
        <v>153</v>
      </c>
      <c r="D94" s="2" t="s">
        <v>154</v>
      </c>
      <c r="E94" s="2" t="s">
        <v>155</v>
      </c>
    </row>
    <row r="95" spans="1:5">
      <c r="A95" s="2" t="s">
        <v>151</v>
      </c>
      <c r="B95" s="2" t="s">
        <v>156</v>
      </c>
      <c r="C95" s="2" t="s">
        <v>153</v>
      </c>
      <c r="D95" s="2" t="s">
        <v>157</v>
      </c>
      <c r="E95" s="2" t="s">
        <v>155</v>
      </c>
    </row>
    <row r="96" spans="1:5">
      <c r="A96" s="2" t="s">
        <v>151</v>
      </c>
      <c r="B96" s="2" t="s">
        <v>158</v>
      </c>
      <c r="C96" s="2" t="s">
        <v>153</v>
      </c>
      <c r="D96" s="2" t="s">
        <v>159</v>
      </c>
      <c r="E96" s="2" t="s">
        <v>155</v>
      </c>
    </row>
    <row r="97" spans="1:5">
      <c r="A97" s="2" t="s">
        <v>151</v>
      </c>
      <c r="B97" s="2" t="s">
        <v>160</v>
      </c>
      <c r="C97" s="2" t="s">
        <v>153</v>
      </c>
      <c r="D97" s="2" t="s">
        <v>161</v>
      </c>
      <c r="E97" s="2" t="s">
        <v>155</v>
      </c>
    </row>
    <row r="98" spans="1:5">
      <c r="A98" s="2" t="s">
        <v>151</v>
      </c>
      <c r="B98" s="2" t="s">
        <v>162</v>
      </c>
      <c r="C98" s="2" t="s">
        <v>153</v>
      </c>
      <c r="D98" s="2" t="s">
        <v>163</v>
      </c>
      <c r="E98" s="2" t="s">
        <v>155</v>
      </c>
    </row>
    <row r="99" spans="1:5">
      <c r="A99" s="2" t="s">
        <v>151</v>
      </c>
      <c r="B99" s="2" t="s">
        <v>164</v>
      </c>
      <c r="C99" s="2" t="s">
        <v>153</v>
      </c>
      <c r="D99" s="2" t="s">
        <v>165</v>
      </c>
      <c r="E99" s="2" t="s">
        <v>155</v>
      </c>
    </row>
    <row r="100" spans="1:5">
      <c r="A100" s="2" t="s">
        <v>151</v>
      </c>
      <c r="B100" s="2" t="s">
        <v>166</v>
      </c>
      <c r="C100" s="2" t="s">
        <v>153</v>
      </c>
      <c r="D100" s="2" t="s">
        <v>167</v>
      </c>
      <c r="E100" s="2" t="s">
        <v>155</v>
      </c>
    </row>
    <row r="101" spans="1:5">
      <c r="A101" s="2" t="s">
        <v>151</v>
      </c>
      <c r="B101" s="2" t="s">
        <v>168</v>
      </c>
      <c r="C101" s="2" t="s">
        <v>153</v>
      </c>
      <c r="D101" s="2" t="s">
        <v>169</v>
      </c>
      <c r="E101" s="2" t="s">
        <v>155</v>
      </c>
    </row>
    <row r="102" spans="1:5">
      <c r="A102" s="2" t="s">
        <v>151</v>
      </c>
      <c r="B102" s="2" t="s">
        <v>170</v>
      </c>
      <c r="C102" s="2" t="s">
        <v>153</v>
      </c>
      <c r="D102" s="2" t="s">
        <v>171</v>
      </c>
      <c r="E102" s="2" t="s">
        <v>155</v>
      </c>
    </row>
    <row r="103" spans="1:5">
      <c r="A103" s="2" t="s">
        <v>151</v>
      </c>
      <c r="B103" s="2" t="s">
        <v>172</v>
      </c>
      <c r="C103" s="2" t="s">
        <v>153</v>
      </c>
      <c r="D103" s="2" t="s">
        <v>173</v>
      </c>
      <c r="E103" s="2" t="s">
        <v>155</v>
      </c>
    </row>
    <row r="104" spans="1:5">
      <c r="A104" s="2" t="s">
        <v>151</v>
      </c>
      <c r="B104" s="2" t="s">
        <v>174</v>
      </c>
      <c r="C104" s="2" t="s">
        <v>153</v>
      </c>
      <c r="D104" s="2" t="s">
        <v>175</v>
      </c>
      <c r="E104" s="2" t="s">
        <v>155</v>
      </c>
    </row>
    <row r="105" spans="1:5">
      <c r="A105" s="2" t="s">
        <v>151</v>
      </c>
      <c r="B105" s="2" t="s">
        <v>176</v>
      </c>
      <c r="C105" s="2" t="s">
        <v>153</v>
      </c>
      <c r="D105" s="2" t="s">
        <v>177</v>
      </c>
      <c r="E105" s="2" t="s">
        <v>155</v>
      </c>
    </row>
    <row r="106" spans="1:5">
      <c r="A106" s="2" t="s">
        <v>151</v>
      </c>
      <c r="B106" s="2" t="s">
        <v>178</v>
      </c>
      <c r="C106" s="2" t="s">
        <v>153</v>
      </c>
      <c r="D106" s="2" t="s">
        <v>179</v>
      </c>
      <c r="E106" s="2" t="s">
        <v>155</v>
      </c>
    </row>
    <row r="107" spans="1:5">
      <c r="A107" s="2" t="s">
        <v>151</v>
      </c>
      <c r="B107" s="2" t="s">
        <v>180</v>
      </c>
      <c r="C107" s="2" t="s">
        <v>153</v>
      </c>
      <c r="D107" s="2" t="s">
        <v>181</v>
      </c>
      <c r="E107" s="2" t="s">
        <v>155</v>
      </c>
    </row>
    <row r="108" spans="1:5">
      <c r="A108" s="2" t="s">
        <v>151</v>
      </c>
      <c r="B108" s="2" t="s">
        <v>182</v>
      </c>
      <c r="C108" s="2" t="s">
        <v>153</v>
      </c>
      <c r="D108" s="2" t="s">
        <v>183</v>
      </c>
      <c r="E108" s="2" t="s">
        <v>155</v>
      </c>
    </row>
    <row r="109" spans="1:5">
      <c r="A109" s="2" t="s">
        <v>151</v>
      </c>
      <c r="B109" s="2" t="s">
        <v>184</v>
      </c>
      <c r="C109" s="2" t="s">
        <v>153</v>
      </c>
      <c r="D109" s="2" t="s">
        <v>185</v>
      </c>
      <c r="E109" s="2" t="s">
        <v>155</v>
      </c>
    </row>
    <row r="110" spans="1:5">
      <c r="A110" s="2" t="s">
        <v>151</v>
      </c>
      <c r="B110" s="2" t="s">
        <v>186</v>
      </c>
      <c r="C110" s="2" t="s">
        <v>153</v>
      </c>
      <c r="D110" s="2" t="s">
        <v>187</v>
      </c>
      <c r="E110" s="2" t="s">
        <v>155</v>
      </c>
    </row>
    <row r="111" spans="1:5">
      <c r="A111" s="2" t="s">
        <v>151</v>
      </c>
      <c r="B111" s="2" t="s">
        <v>188</v>
      </c>
      <c r="C111" s="2" t="s">
        <v>153</v>
      </c>
      <c r="D111" s="2" t="s">
        <v>189</v>
      </c>
      <c r="E111" s="2" t="s">
        <v>155</v>
      </c>
    </row>
    <row r="112" spans="1:5">
      <c r="A112" s="2" t="s">
        <v>151</v>
      </c>
      <c r="B112" s="2" t="s">
        <v>190</v>
      </c>
      <c r="C112" s="2" t="s">
        <v>153</v>
      </c>
      <c r="D112" s="2" t="s">
        <v>191</v>
      </c>
      <c r="E112" s="2" t="s">
        <v>155</v>
      </c>
    </row>
    <row r="113" spans="1:5">
      <c r="A113" s="2" t="s">
        <v>151</v>
      </c>
      <c r="B113" s="2" t="s">
        <v>192</v>
      </c>
      <c r="C113" s="2" t="s">
        <v>153</v>
      </c>
      <c r="D113" s="2" t="s">
        <v>193</v>
      </c>
      <c r="E113" s="2" t="s">
        <v>155</v>
      </c>
    </row>
    <row r="114" spans="1:5">
      <c r="A114" s="2" t="s">
        <v>151</v>
      </c>
      <c r="B114" s="2" t="s">
        <v>194</v>
      </c>
      <c r="C114" s="2" t="s">
        <v>153</v>
      </c>
      <c r="D114" s="2" t="s">
        <v>195</v>
      </c>
      <c r="E114" s="2" t="s">
        <v>155</v>
      </c>
    </row>
    <row r="115" spans="1:5">
      <c r="A115" s="2" t="s">
        <v>151</v>
      </c>
      <c r="B115" s="2" t="s">
        <v>196</v>
      </c>
      <c r="C115" s="2" t="s">
        <v>153</v>
      </c>
      <c r="D115" s="2" t="s">
        <v>197</v>
      </c>
      <c r="E115" s="2" t="s">
        <v>155</v>
      </c>
    </row>
    <row r="116" spans="1:5">
      <c r="A116" s="2" t="s">
        <v>151</v>
      </c>
      <c r="B116" s="2" t="s">
        <v>198</v>
      </c>
      <c r="C116" s="2" t="s">
        <v>153</v>
      </c>
      <c r="D116" s="2" t="s">
        <v>199</v>
      </c>
      <c r="E116" s="2" t="s">
        <v>155</v>
      </c>
    </row>
    <row r="117" spans="1:5">
      <c r="A117" s="2" t="s">
        <v>151</v>
      </c>
      <c r="B117" s="2" t="s">
        <v>200</v>
      </c>
      <c r="C117" s="2" t="s">
        <v>153</v>
      </c>
      <c r="D117" s="2" t="s">
        <v>201</v>
      </c>
      <c r="E117" s="2" t="s">
        <v>155</v>
      </c>
    </row>
    <row r="118" spans="1:5">
      <c r="A118" s="2" t="s">
        <v>151</v>
      </c>
      <c r="B118" s="2" t="s">
        <v>202</v>
      </c>
      <c r="C118" s="2" t="s">
        <v>153</v>
      </c>
      <c r="D118" s="2" t="s">
        <v>203</v>
      </c>
      <c r="E118" s="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24.7109375" customWidth="1"/>
    <col min="2" max="2" width="70.7109375" customWidth="1"/>
    <col min="3" max="3" width="14.7109375" customWidth="1"/>
  </cols>
  <sheetData>
    <row r="1" spans="1:3">
      <c r="A1" s="1" t="s">
        <v>47</v>
      </c>
      <c r="B1" s="1" t="s">
        <v>103</v>
      </c>
      <c r="C1" s="1" t="s">
        <v>2</v>
      </c>
    </row>
    <row r="2" spans="1:3">
      <c r="A2" s="2" t="s">
        <v>26</v>
      </c>
      <c r="B2" s="2" t="s">
        <v>204</v>
      </c>
      <c r="C2" s="2" t="s">
        <v>205</v>
      </c>
    </row>
    <row r="3" spans="1:3">
      <c r="A3" s="2" t="s">
        <v>27</v>
      </c>
      <c r="B3" s="2" t="s">
        <v>206</v>
      </c>
      <c r="C3" s="2" t="s">
        <v>205</v>
      </c>
    </row>
    <row r="4" spans="1:3">
      <c r="A4" s="2" t="s">
        <v>28</v>
      </c>
      <c r="B4" s="2" t="s">
        <v>207</v>
      </c>
      <c r="C4" s="2" t="s">
        <v>205</v>
      </c>
    </row>
    <row r="5" spans="1:3">
      <c r="A5" s="2" t="s">
        <v>29</v>
      </c>
      <c r="B5" s="2" t="s">
        <v>208</v>
      </c>
      <c r="C5" s="2" t="s">
        <v>205</v>
      </c>
    </row>
    <row r="6" spans="1:3">
      <c r="A6" s="2" t="s">
        <v>30</v>
      </c>
      <c r="B6" s="2" t="s">
        <v>209</v>
      </c>
      <c r="C6" s="2" t="s">
        <v>205</v>
      </c>
    </row>
    <row r="7" spans="1:3">
      <c r="A7" s="2" t="s">
        <v>31</v>
      </c>
      <c r="B7" s="2" t="s">
        <v>210</v>
      </c>
      <c r="C7" s="2" t="s">
        <v>205</v>
      </c>
    </row>
    <row r="8" spans="1:3">
      <c r="A8" s="2" t="s">
        <v>32</v>
      </c>
      <c r="B8" s="2" t="s">
        <v>211</v>
      </c>
      <c r="C8" s="2" t="s">
        <v>205</v>
      </c>
    </row>
    <row r="9" spans="1:3">
      <c r="A9" s="2" t="s">
        <v>33</v>
      </c>
      <c r="B9" s="2" t="s">
        <v>212</v>
      </c>
      <c r="C9" s="2" t="s">
        <v>205</v>
      </c>
    </row>
    <row r="10" spans="1:3">
      <c r="A10" s="2" t="s">
        <v>34</v>
      </c>
      <c r="B10" s="2" t="s">
        <v>213</v>
      </c>
      <c r="C10" s="2" t="s">
        <v>205</v>
      </c>
    </row>
    <row r="11" spans="1:3">
      <c r="A11" s="2" t="s">
        <v>35</v>
      </c>
      <c r="B11" s="2" t="s">
        <v>214</v>
      </c>
      <c r="C11" s="2" t="s">
        <v>205</v>
      </c>
    </row>
    <row r="12" spans="1:3">
      <c r="A12" s="2" t="s">
        <v>36</v>
      </c>
      <c r="B12" s="2" t="s">
        <v>215</v>
      </c>
      <c r="C12" s="2" t="s">
        <v>205</v>
      </c>
    </row>
    <row r="13" spans="1:3">
      <c r="A13" s="2" t="s">
        <v>37</v>
      </c>
      <c r="B13" s="2" t="s">
        <v>216</v>
      </c>
      <c r="C13" s="2" t="s">
        <v>205</v>
      </c>
    </row>
    <row r="14" spans="1:3">
      <c r="A14" s="2" t="s">
        <v>217</v>
      </c>
      <c r="B14" s="2" t="s">
        <v>218</v>
      </c>
      <c r="C14" s="2" t="s">
        <v>205</v>
      </c>
    </row>
    <row r="15" spans="1:3">
      <c r="A15" s="2" t="s">
        <v>219</v>
      </c>
      <c r="B15" s="2" t="s">
        <v>89</v>
      </c>
      <c r="C15" s="2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4.7109375" customWidth="1"/>
    <col min="2" max="2" width="14.7109375" customWidth="1"/>
    <col min="3" max="3" width="16.7109375" customWidth="1"/>
    <col min="4" max="4" width="4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6">
        <v>0.05</v>
      </c>
      <c r="C2" s="2" t="s">
        <v>5</v>
      </c>
      <c r="D2" s="2" t="s">
        <v>6</v>
      </c>
    </row>
    <row r="3" spans="1:4">
      <c r="A3" s="2" t="s">
        <v>7</v>
      </c>
      <c r="B3" s="6">
        <v>0.12</v>
      </c>
      <c r="C3" s="2" t="s">
        <v>5</v>
      </c>
      <c r="D3" s="2" t="s">
        <v>8</v>
      </c>
    </row>
    <row r="4" spans="1:4">
      <c r="A4" s="2" t="s">
        <v>9</v>
      </c>
      <c r="B4" s="6">
        <v>0.21</v>
      </c>
      <c r="C4" s="2" t="s">
        <v>5</v>
      </c>
      <c r="D4" s="2" t="s">
        <v>10</v>
      </c>
    </row>
    <row r="5" spans="1:4">
      <c r="A5" s="2" t="s">
        <v>11</v>
      </c>
      <c r="B5" s="6">
        <v>0.04</v>
      </c>
      <c r="C5" s="2" t="s">
        <v>5</v>
      </c>
      <c r="D5" s="2" t="s">
        <v>12</v>
      </c>
    </row>
    <row r="6" spans="1:4">
      <c r="A6" s="2" t="s">
        <v>13</v>
      </c>
      <c r="B6" s="6">
        <v>0.08</v>
      </c>
      <c r="C6" s="2" t="s">
        <v>5</v>
      </c>
      <c r="D6" s="2" t="s">
        <v>14</v>
      </c>
    </row>
    <row r="7" spans="1:4">
      <c r="A7" s="2" t="s">
        <v>15</v>
      </c>
      <c r="B7" s="6">
        <v>0.02</v>
      </c>
      <c r="C7" s="2" t="s">
        <v>5</v>
      </c>
      <c r="D7" s="2" t="s">
        <v>16</v>
      </c>
    </row>
    <row r="8" spans="1:4">
      <c r="A8" s="2" t="s">
        <v>17</v>
      </c>
      <c r="B8" s="6">
        <v>0.1</v>
      </c>
      <c r="C8" s="2" t="s">
        <v>5</v>
      </c>
      <c r="D8" s="2" t="s">
        <v>18</v>
      </c>
    </row>
    <row r="9" spans="1:4">
      <c r="A9" s="2" t="s">
        <v>19</v>
      </c>
      <c r="B9" s="6">
        <v>0.03</v>
      </c>
      <c r="C9" s="2" t="s">
        <v>5</v>
      </c>
      <c r="D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Historical Statements</vt:lpstr>
      <vt:lpstr>Operating Metrics</vt:lpstr>
      <vt:lpstr>Forecast</vt:lpstr>
      <vt:lpstr>DCF</vt:lpstr>
      <vt:lpstr>Comps</vt:lpstr>
      <vt:lpstr>Sensitivity</vt:lpstr>
      <vt:lpstr>Capital Signals</vt:lpstr>
      <vt:lpstr>Source Map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2026-04-26T03:15:32Z</dcterms:created>
  <dcterms:modified xsi:type="dcterms:W3CDTF">2026-04-26T03:15:32Z</dcterms:modified>
</cp:coreProperties>
</file>