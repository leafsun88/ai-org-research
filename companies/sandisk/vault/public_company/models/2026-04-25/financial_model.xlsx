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Statements" sheetId="2" state="visible" r:id="rId2"/>
    <sheet xmlns:r="http://schemas.openxmlformats.org/officeDocument/2006/relationships" name="Operating Metrics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apital Signals" sheetId="8" state="visible" r:id="rId8"/>
    <sheet xmlns:r="http://schemas.openxmlformats.org/officeDocument/2006/relationships" name="Source Map" sheetId="9" state="visible" r:id="rId9"/>
    <sheet xmlns:r="http://schemas.openxmlformats.org/officeDocument/2006/relationships" name="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Company</t>
        </is>
      </c>
      <c r="B2" t="inlineStr">
        <is>
          <t>Sandisk</t>
        </is>
      </c>
      <c r="C2" t="inlineStr">
        <is>
          <t>target config</t>
        </is>
      </c>
    </row>
    <row r="3">
      <c r="A3" t="inlineStr">
        <is>
          <t>Ticker</t>
        </is>
      </c>
      <c r="B3" t="inlineStr">
        <is>
          <t>SNDK</t>
        </is>
      </c>
      <c r="C3" t="inlineStr">
        <is>
          <t>target config</t>
        </is>
      </c>
    </row>
    <row r="4">
      <c r="A4" t="inlineStr">
        <is>
          <t>As of</t>
        </is>
      </c>
      <c r="B4" t="inlineStr">
        <is>
          <t>2026-04-25</t>
        </is>
      </c>
      <c r="C4" t="inlineStr">
        <is>
          <t>script argument</t>
        </is>
      </c>
    </row>
    <row r="5">
      <c r="A5" t="inlineStr">
        <is>
          <t>Market cap</t>
        </is>
      </c>
      <c r="B5" t="n">
        <v>146110000000</v>
      </c>
      <c r="C5" t="inlineStr">
        <is>
          <t>data/valuation/valuation_snapshot.json</t>
        </is>
      </c>
    </row>
    <row r="6">
      <c r="A6" t="inlineStr">
        <is>
          <t>Enterprise value</t>
        </is>
      </c>
      <c r="B6" t="n">
        <v>145380000000</v>
      </c>
      <c r="C6" t="inlineStr">
        <is>
          <t>data/valuation/valuation_snapshot.json</t>
        </is>
      </c>
    </row>
    <row r="7">
      <c r="A7" t="inlineStr">
        <is>
          <t>Latest annual revenue</t>
        </is>
      </c>
      <c r="B7" t="n">
        <v>7355000000</v>
      </c>
      <c r="C7" t="inlineStr">
        <is>
          <t>data/statements/annual_statements.json</t>
        </is>
      </c>
    </row>
    <row r="8">
      <c r="A8" t="inlineStr">
        <is>
          <t>Latest annual net income</t>
        </is>
      </c>
      <c r="B8" t="n">
        <v>-1641000000</v>
      </c>
      <c r="C8" t="inlineStr">
        <is>
          <t>data/statements/annual_statements.json</t>
        </is>
      </c>
    </row>
    <row r="9">
      <c r="A9" t="inlineStr">
        <is>
          <t>DCF implied enterprise value</t>
        </is>
      </c>
      <c r="B9">
        <f>DCF!B14</f>
        <v/>
      </c>
      <c r="C9" t="inlineStr">
        <is>
          <t>DCF sheet</t>
        </is>
      </c>
    </row>
    <row r="10">
      <c r="A10" t="inlineStr">
        <is>
          <t>DCF implied equity value</t>
        </is>
      </c>
      <c r="B10">
        <f>DCF!B17</f>
        <v/>
      </c>
      <c r="C10" t="inlineStr">
        <is>
          <t>DCF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3" customWidth="1" min="9" max="9"/>
    <col width="21" customWidth="1" min="10" max="10"/>
    <col width="22" customWidth="1" min="11" max="11"/>
    <col width="12" customWidth="1" min="12" max="12"/>
    <col width="14" customWidth="1" min="13" max="13"/>
    <col width="13" customWidth="1" min="14" max="14"/>
    <col width="13" customWidth="1" min="15" max="15"/>
    <col width="21" customWidth="1" min="16" max="16"/>
    <col width="20" customWidth="1" min="17" max="17"/>
  </cols>
  <sheetData>
    <row r="1">
      <c r="A1" s="1" t="inlineStr">
        <is>
          <t>period</t>
        </is>
      </c>
      <c r="B1" s="1" t="inlineStr">
        <is>
          <t>fiscal_year</t>
        </is>
      </c>
      <c r="C1" s="1" t="inlineStr">
        <is>
          <t>fiscal_period</t>
        </is>
      </c>
      <c r="D1" s="1" t="inlineStr">
        <is>
          <t>form</t>
        </is>
      </c>
      <c r="E1" s="1" t="inlineStr">
        <is>
          <t>filed</t>
        </is>
      </c>
      <c r="F1" s="1" t="inlineStr">
        <is>
          <t>revenue</t>
        </is>
      </c>
      <c r="G1" s="1" t="inlineStr">
        <is>
          <t>gross_profit</t>
        </is>
      </c>
      <c r="H1" s="1" t="inlineStr">
        <is>
          <t>operating_income</t>
        </is>
      </c>
      <c r="I1" s="1" t="inlineStr">
        <is>
          <t>net_income</t>
        </is>
      </c>
      <c r="J1" s="1" t="inlineStr">
        <is>
          <t>operating_cash_flow</t>
        </is>
      </c>
      <c r="K1" s="1" t="inlineStr">
        <is>
          <t>capital_expenditures</t>
        </is>
      </c>
      <c r="L1" s="1" t="inlineStr">
        <is>
          <t>cash</t>
        </is>
      </c>
      <c r="M1" s="1" t="inlineStr">
        <is>
          <t>debt</t>
        </is>
      </c>
      <c r="N1" s="1" t="inlineStr">
        <is>
          <t>assets</t>
        </is>
      </c>
      <c r="O1" s="1" t="inlineStr">
        <is>
          <t>liabilities</t>
        </is>
      </c>
      <c r="P1" s="1" t="inlineStr">
        <is>
          <t>stockholders_equity</t>
        </is>
      </c>
      <c r="Q1" s="1" t="inlineStr">
        <is>
          <t>shares_outstanding</t>
        </is>
      </c>
    </row>
    <row r="2">
      <c r="A2" t="inlineStr">
        <is>
          <t>2025</t>
        </is>
      </c>
      <c r="B2" t="n">
        <v>2025</v>
      </c>
      <c r="C2" t="inlineStr">
        <is>
          <t>FY</t>
        </is>
      </c>
      <c r="D2" t="inlineStr">
        <is>
          <t>10-K</t>
        </is>
      </c>
      <c r="E2" t="inlineStr">
        <is>
          <t>2025-08-21</t>
        </is>
      </c>
      <c r="F2" t="n">
        <v>7355000000</v>
      </c>
      <c r="G2" t="n">
        <v>2212000000</v>
      </c>
      <c r="H2" t="n">
        <v>-1377000000</v>
      </c>
      <c r="I2" t="n">
        <v>-1641000000</v>
      </c>
      <c r="J2" t="n">
        <v>84000000</v>
      </c>
      <c r="K2" t="n">
        <v>-204000000</v>
      </c>
      <c r="L2" t="n">
        <v>1481000000</v>
      </c>
      <c r="M2" t="n">
        <v>1849000000</v>
      </c>
      <c r="N2" t="n">
        <v>12985000000</v>
      </c>
      <c r="O2" t="n">
        <v>3769000000</v>
      </c>
      <c r="P2" t="n">
        <v>9216000000</v>
      </c>
      <c r="Q2" t="n">
        <v>145000000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period</t>
        </is>
      </c>
      <c r="B1" s="1" t="inlineStr">
        <is>
          <t>gross_margin</t>
        </is>
      </c>
      <c r="C1" s="1" t="inlineStr">
        <is>
          <t>operating_margin</t>
        </is>
      </c>
      <c r="D1" s="1" t="inlineStr">
        <is>
          <t>net_margin</t>
        </is>
      </c>
      <c r="E1" s="1" t="inlineStr">
        <is>
          <t>fcf_margin</t>
        </is>
      </c>
    </row>
    <row r="2">
      <c r="A2" t="inlineStr">
        <is>
          <t>2025</t>
        </is>
      </c>
      <c r="B2">
        <f>IFERROR('Historical Statements'!G2/'Historical Statements'!F2,"")</f>
        <v/>
      </c>
      <c r="C2">
        <f>IFERROR('Historical Statements'!H2/'Historical Statements'!F2,"")</f>
        <v/>
      </c>
      <c r="D2">
        <f>IFERROR('Historical Statements'!I2/'Historical Statements'!F2,"")</f>
        <v/>
      </c>
      <c r="E2">
        <f>IFERROR(('Historical Statements'!J2+'Historical Statements'!K2)/'Historical Statements'!F2,"")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latest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</row>
    <row r="2">
      <c r="A2" t="inlineStr">
        <is>
          <t>Revenue</t>
        </is>
      </c>
      <c r="B2" t="n">
        <v>7355000000</v>
      </c>
      <c r="C2">
        <f>B2*(1+Assumptions!B2)</f>
        <v/>
      </c>
      <c r="D2">
        <f>C2*(1+Assumptions!B2)</f>
        <v/>
      </c>
      <c r="E2">
        <f>D2*(1+Assumptions!B2)</f>
        <v/>
      </c>
      <c r="F2">
        <f>E2*(1+Assumptions!B2)</f>
        <v/>
      </c>
      <c r="G2">
        <f>F2*(1+Assumptions!B2)</f>
        <v/>
      </c>
    </row>
    <row r="3">
      <c r="A3" t="inlineStr">
        <is>
          <t>Operating Income</t>
        </is>
      </c>
      <c r="B3" t="n">
        <v>-1377000000</v>
      </c>
      <c r="C3">
        <f>C2*Assumptions!B3</f>
        <v/>
      </c>
      <c r="D3">
        <f>D2*Assumptions!B3</f>
        <v/>
      </c>
      <c r="E3">
        <f>E2*Assumptions!B3</f>
        <v/>
      </c>
      <c r="F3">
        <f>F2*Assumptions!B3</f>
        <v/>
      </c>
      <c r="G3">
        <f>G2*Assumptions!B3</f>
        <v/>
      </c>
    </row>
    <row r="4">
      <c r="A4" t="inlineStr">
        <is>
          <t>NOPAT</t>
        </is>
      </c>
      <c r="B4" t="inlineStr"/>
      <c r="C4">
        <f>C3*(1-Assumptions!B4)</f>
        <v/>
      </c>
      <c r="D4">
        <f>D3*(1-Assumptions!B4)</f>
        <v/>
      </c>
      <c r="E4">
        <f>E3*(1-Assumptions!B4)</f>
        <v/>
      </c>
      <c r="F4">
        <f>F3*(1-Assumptions!B4)</f>
        <v/>
      </c>
      <c r="G4">
        <f>G3*(1-Assumptions!B4)</f>
        <v/>
      </c>
    </row>
    <row r="5">
      <c r="A5" t="inlineStr">
        <is>
          <t>D&amp;A</t>
        </is>
      </c>
      <c r="B5" t="inlineStr"/>
      <c r="C5">
        <f>C2*Assumptions!B5</f>
        <v/>
      </c>
      <c r="D5">
        <f>D2*Assumptions!B5</f>
        <v/>
      </c>
      <c r="E5">
        <f>E2*Assumptions!B5</f>
        <v/>
      </c>
      <c r="F5">
        <f>F2*Assumptions!B5</f>
        <v/>
      </c>
      <c r="G5">
        <f>G2*Assumptions!B5</f>
        <v/>
      </c>
    </row>
    <row r="6">
      <c r="A6" t="inlineStr">
        <is>
          <t>Capex</t>
        </is>
      </c>
      <c r="B6" t="n">
        <v>-204000000</v>
      </c>
      <c r="C6">
        <f>-C2*Assumptions!B6</f>
        <v/>
      </c>
      <c r="D6">
        <f>-D2*Assumptions!B6</f>
        <v/>
      </c>
      <c r="E6">
        <f>-E2*Assumptions!B6</f>
        <v/>
      </c>
      <c r="F6">
        <f>-F2*Assumptions!B6</f>
        <v/>
      </c>
      <c r="G6">
        <f>-G2*Assumptions!B6</f>
        <v/>
      </c>
    </row>
    <row r="7">
      <c r="A7" t="inlineStr">
        <is>
          <t>Change in NWC</t>
        </is>
      </c>
      <c r="B7" t="inlineStr"/>
      <c r="C7">
        <f>-C2*Assumptions!B7</f>
        <v/>
      </c>
      <c r="D7">
        <f>-D2*Assumptions!B7</f>
        <v/>
      </c>
      <c r="E7">
        <f>-E2*Assumptions!B7</f>
        <v/>
      </c>
      <c r="F7">
        <f>-F2*Assumptions!B7</f>
        <v/>
      </c>
      <c r="G7">
        <f>-G2*Assumptions!B7</f>
        <v/>
      </c>
    </row>
    <row r="8">
      <c r="A8" t="inlineStr">
        <is>
          <t>Free Cash Flow</t>
        </is>
      </c>
      <c r="B8" t="n">
        <v>-120000000</v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WACC</t>
        </is>
      </c>
      <c r="B2">
        <f>Assumptions!B8</f>
        <v/>
      </c>
    </row>
    <row r="3">
      <c r="A3" t="inlineStr">
        <is>
          <t>Terminal growth</t>
        </is>
      </c>
      <c r="B3">
        <f>Assumptions!B9</f>
        <v/>
      </c>
    </row>
    <row r="4">
      <c r="A4" t="inlineStr">
        <is>
          <t>PV Y1</t>
        </is>
      </c>
      <c r="B4">
        <f>IFERROR(Forecast!C8/(1+$B$2)^1,0)</f>
        <v/>
      </c>
    </row>
    <row r="5">
      <c r="A5" t="inlineStr">
        <is>
          <t>PV Y2</t>
        </is>
      </c>
      <c r="B5">
        <f>IFERROR(Forecast!D8/(1+$B$2)^2,0)</f>
        <v/>
      </c>
    </row>
    <row r="6">
      <c r="A6" t="inlineStr">
        <is>
          <t>PV Y3</t>
        </is>
      </c>
      <c r="B6">
        <f>IFERROR(Forecast!E8/(1+$B$2)^3,0)</f>
        <v/>
      </c>
    </row>
    <row r="7">
      <c r="A7" t="inlineStr">
        <is>
          <t>PV Y4</t>
        </is>
      </c>
      <c r="B7">
        <f>IFERROR(Forecast!F8/(1+$B$2)^4,0)</f>
        <v/>
      </c>
    </row>
    <row r="8">
      <c r="A8" t="inlineStr">
        <is>
          <t>PV Y5</t>
        </is>
      </c>
      <c r="B8">
        <f>IFERROR(Forecast!G8/(1+$B$2)^5,0)</f>
        <v/>
      </c>
    </row>
    <row r="9">
      <c r="A9" t="inlineStr">
        <is>
          <t>Terminal FCF</t>
        </is>
      </c>
      <c r="B9">
        <f>Forecast!G8*(1+$B$3)</f>
        <v/>
      </c>
    </row>
    <row r="10">
      <c r="A10" t="inlineStr">
        <is>
          <t>Terminal value</t>
        </is>
      </c>
      <c r="B10">
        <f>IFERROR(B9/($B$2-$B$3),0)</f>
        <v/>
      </c>
    </row>
    <row r="11">
      <c r="A11" t="inlineStr">
        <is>
          <t>PV terminal value</t>
        </is>
      </c>
      <c r="B11">
        <f>IFERROR(B10/(1+$B$2)^5,0)</f>
        <v/>
      </c>
    </row>
    <row r="12">
      <c r="A12" t="inlineStr">
        <is>
          <t>Enterprise value</t>
        </is>
      </c>
      <c r="B12">
        <f>SUM(B4:B8)+B11</f>
        <v/>
      </c>
    </row>
    <row r="13">
      <c r="A13" t="inlineStr">
        <is>
          <t>Cash</t>
        </is>
      </c>
      <c r="B13" t="n">
        <v>1481000000</v>
      </c>
    </row>
    <row r="14">
      <c r="A14" t="inlineStr">
        <is>
          <t>Debt</t>
        </is>
      </c>
      <c r="B14" t="n">
        <v>1849000000</v>
      </c>
    </row>
    <row r="15">
      <c r="A15" t="inlineStr">
        <is>
          <t>Equity value</t>
        </is>
      </c>
      <c r="B15">
        <f>B12+B13-B14</f>
        <v/>
      </c>
    </row>
    <row r="16">
      <c r="A16" t="inlineStr">
        <is>
          <t>Shares outstanding</t>
        </is>
      </c>
      <c r="B16" t="n">
        <v>145000000</v>
      </c>
    </row>
    <row r="17">
      <c r="A17" t="inlineStr">
        <is>
          <t>Implied price</t>
        </is>
      </c>
      <c r="B17">
        <f>IFERROR(B15/B16,"")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3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ticker</t>
        </is>
      </c>
      <c r="B1" s="1" t="inlineStr">
        <is>
          <t>market_cap</t>
        </is>
      </c>
      <c r="C1" s="1" t="inlineStr">
        <is>
          <t>enterprise_value</t>
        </is>
      </c>
      <c r="D1" s="1" t="inlineStr">
        <is>
          <t>trailing_pe</t>
        </is>
      </c>
      <c r="E1" s="1" t="inlineStr">
        <is>
          <t>price_to_sales</t>
        </is>
      </c>
      <c r="F1" s="1" t="inlineStr">
        <is>
          <t>ev_to_ebitda</t>
        </is>
      </c>
      <c r="G1" s="1" t="inlineStr">
        <is>
          <t>source</t>
        </is>
      </c>
    </row>
    <row r="2">
      <c r="A2" t="inlineStr">
        <is>
          <t>WDC</t>
        </is>
      </c>
      <c r="B2" t="n">
        <v>136970000000</v>
      </c>
      <c r="C2" t="n">
        <v>137730000000</v>
      </c>
      <c r="D2" t="n">
        <v>37.77</v>
      </c>
      <c r="E2" t="n">
        <v>12.76</v>
      </c>
      <c r="F2" t="n">
        <v>41.03</v>
      </c>
      <c r="G2" t="inlineStr">
        <is>
          <t>yahoo_chart_json + stockanalysis_statistics_page</t>
        </is>
      </c>
    </row>
    <row r="3">
      <c r="A3" t="inlineStr">
        <is>
          <t>MU</t>
        </is>
      </c>
      <c r="B3" t="n">
        <v>560170000000</v>
      </c>
      <c r="C3" t="n">
        <v>554340000000</v>
      </c>
      <c r="D3" t="n">
        <v>23.37</v>
      </c>
      <c r="E3" t="n">
        <v>9.640000000000001</v>
      </c>
      <c r="F3" t="n">
        <v>15.06</v>
      </c>
      <c r="G3" t="inlineStr">
        <is>
          <t>yahoo_chart_json + stockanalysis_statistics_page</t>
        </is>
      </c>
    </row>
    <row r="4">
      <c r="A4" t="inlineStr">
        <is>
          <t>STX</t>
        </is>
      </c>
      <c r="B4" t="n">
        <v>131330000000</v>
      </c>
      <c r="C4" t="n">
        <v>135090000000</v>
      </c>
      <c r="D4" t="n">
        <v>66.04000000000001</v>
      </c>
      <c r="E4" t="n">
        <v>13.06</v>
      </c>
      <c r="F4" t="n">
        <v>47.37</v>
      </c>
      <c r="G4" t="inlineStr">
        <is>
          <t>yahoo_chart_json + stockanalysis_statistics_page</t>
        </is>
      </c>
    </row>
    <row r="5">
      <c r="A5" t="inlineStr">
        <is>
          <t>285A.T</t>
        </is>
      </c>
      <c r="G5" t="inlineStr">
        <is>
          <t>yahoo_chart_json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Terminal growth \ WACC</t>
        </is>
      </c>
      <c r="B1" s="1" t="n">
        <v>0.08</v>
      </c>
      <c r="C1" s="1" t="n">
        <v>0.09</v>
      </c>
      <c r="D1" s="1" t="n">
        <v>0.1</v>
      </c>
      <c r="E1" s="1" t="n">
        <v>0.11</v>
      </c>
      <c r="F1" s="1" t="n">
        <v>0.12</v>
      </c>
    </row>
    <row r="2">
      <c r="A2" t="n">
        <v>0.01</v>
      </c>
      <c r="B2">
        <f>IFERROR((SUM(DCF!B4:B8)+(Forecast!G8*(1+0.01)/(0.08-0.01))/(1+0.08)^5)+DCF!B13-DCF!B14,"")</f>
        <v/>
      </c>
      <c r="C2">
        <f>IFERROR((SUM(DCF!B4:B8)+(Forecast!G8*(1+0.01)/(0.09-0.01))/(1+0.09)^5)+DCF!B13-DCF!B14,"")</f>
        <v/>
      </c>
      <c r="D2">
        <f>IFERROR((SUM(DCF!B4:B8)+(Forecast!G8*(1+0.01)/(0.1-0.01))/(1+0.1)^5)+DCF!B13-DCF!B14,"")</f>
        <v/>
      </c>
      <c r="E2">
        <f>IFERROR((SUM(DCF!B4:B8)+(Forecast!G8*(1+0.01)/(0.11-0.01))/(1+0.11)^5)+DCF!B13-DCF!B14,"")</f>
        <v/>
      </c>
      <c r="F2">
        <f>IFERROR((SUM(DCF!B4:B8)+(Forecast!G8*(1+0.01)/(0.12-0.01))/(1+0.12)^5)+DCF!B13-DCF!B14,"")</f>
        <v/>
      </c>
    </row>
    <row r="3">
      <c r="A3" t="n">
        <v>0.02</v>
      </c>
      <c r="B3">
        <f>IFERROR((SUM(DCF!B4:B8)+(Forecast!G8*(1+0.02)/(0.08-0.02))/(1+0.08)^5)+DCF!B13-DCF!B14,"")</f>
        <v/>
      </c>
      <c r="C3">
        <f>IFERROR((SUM(DCF!B4:B8)+(Forecast!G8*(1+0.02)/(0.09-0.02))/(1+0.09)^5)+DCF!B13-DCF!B14,"")</f>
        <v/>
      </c>
      <c r="D3">
        <f>IFERROR((SUM(DCF!B4:B8)+(Forecast!G8*(1+0.02)/(0.1-0.02))/(1+0.1)^5)+DCF!B13-DCF!B14,"")</f>
        <v/>
      </c>
      <c r="E3">
        <f>IFERROR((SUM(DCF!B4:B8)+(Forecast!G8*(1+0.02)/(0.11-0.02))/(1+0.11)^5)+DCF!B13-DCF!B14,"")</f>
        <v/>
      </c>
      <c r="F3">
        <f>IFERROR((SUM(DCF!B4:B8)+(Forecast!G8*(1+0.02)/(0.12-0.02))/(1+0.12)^5)+DCF!B13-DCF!B14,"")</f>
        <v/>
      </c>
    </row>
    <row r="4">
      <c r="A4" t="n">
        <v>0.03</v>
      </c>
      <c r="B4">
        <f>IFERROR((SUM(DCF!B4:B8)+(Forecast!G8*(1+0.03)/(0.08-0.03))/(1+0.08)^5)+DCF!B13-DCF!B14,"")</f>
        <v/>
      </c>
      <c r="C4">
        <f>IFERROR((SUM(DCF!B4:B8)+(Forecast!G8*(1+0.03)/(0.09-0.03))/(1+0.09)^5)+DCF!B13-DCF!B14,"")</f>
        <v/>
      </c>
      <c r="D4">
        <f>IFERROR((SUM(DCF!B4:B8)+(Forecast!G8*(1+0.03)/(0.1-0.03))/(1+0.1)^5)+DCF!B13-DCF!B14,"")</f>
        <v/>
      </c>
      <c r="E4">
        <f>IFERROR((SUM(DCF!B4:B8)+(Forecast!G8*(1+0.03)/(0.11-0.03))/(1+0.11)^5)+DCF!B13-DCF!B14,"")</f>
        <v/>
      </c>
      <c r="F4">
        <f>IFERROR((SUM(DCF!B4:B8)+(Forecast!G8*(1+0.03)/(0.12-0.03))/(1+0.12)^5)+DCF!B13-DCF!B14,"")</f>
        <v/>
      </c>
    </row>
    <row r="5">
      <c r="A5" t="n">
        <v>0.04</v>
      </c>
      <c r="B5">
        <f>IFERROR((SUM(DCF!B4:B8)+(Forecast!G8*(1+0.04)/(0.08-0.04))/(1+0.08)^5)+DCF!B13-DCF!B14,"")</f>
        <v/>
      </c>
      <c r="C5">
        <f>IFERROR((SUM(DCF!B4:B8)+(Forecast!G8*(1+0.04)/(0.09-0.04))/(1+0.09)^5)+DCF!B13-DCF!B14,"")</f>
        <v/>
      </c>
      <c r="D5">
        <f>IFERROR((SUM(DCF!B4:B8)+(Forecast!G8*(1+0.04)/(0.1-0.04))/(1+0.1)^5)+DCF!B13-DCF!B14,"")</f>
        <v/>
      </c>
      <c r="E5">
        <f>IFERROR((SUM(DCF!B4:B8)+(Forecast!G8*(1+0.04)/(0.11-0.04))/(1+0.11)^5)+DCF!B13-DCF!B14,"")</f>
        <v/>
      </c>
      <c r="F5">
        <f>IFERROR((SUM(DCF!B4:B8)+(Forecast!G8*(1+0.04)/(0.12-0.04))/(1+0.12)^5)+DCF!B13-DCF!B14,"")</f>
        <v/>
      </c>
    </row>
    <row r="6">
      <c r="A6" t="n">
        <v>0.05</v>
      </c>
      <c r="B6">
        <f>IFERROR((SUM(DCF!B4:B8)+(Forecast!G8*(1+0.05)/(0.08-0.05))/(1+0.08)^5)+DCF!B13-DCF!B14,"")</f>
        <v/>
      </c>
      <c r="C6">
        <f>IFERROR((SUM(DCF!B4:B8)+(Forecast!G8*(1+0.05)/(0.09-0.05))/(1+0.09)^5)+DCF!B13-DCF!B14,"")</f>
        <v/>
      </c>
      <c r="D6">
        <f>IFERROR((SUM(DCF!B4:B8)+(Forecast!G8*(1+0.05)/(0.1-0.05))/(1+0.1)^5)+DCF!B13-DCF!B14,"")</f>
        <v/>
      </c>
      <c r="E6">
        <f>IFERROR((SUM(DCF!B4:B8)+(Forecast!G8*(1+0.05)/(0.11-0.05))/(1+0.11)^5)+DCF!B13-DCF!B14,"")</f>
        <v/>
      </c>
      <c r="F6">
        <f>IFERROR((SUM(DCF!B4:B8)+(Forecast!G8*(1+0.05)/(0.12-0.05))/(1+0.12)^5)+DCF!B13-DCF!B14,"")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34" customWidth="1" min="5" max="5"/>
  </cols>
  <sheetData>
    <row r="1">
      <c r="A1" s="1" t="inlineStr">
        <is>
          <t>type</t>
        </is>
      </c>
      <c r="B1" s="1" t="inlineStr">
        <is>
          <t>name_or_form</t>
        </is>
      </c>
      <c r="C1" s="1" t="inlineStr">
        <is>
          <t>date</t>
        </is>
      </c>
      <c r="D1" s="1" t="inlineStr">
        <is>
          <t>value</t>
        </is>
      </c>
      <c r="E1" s="1" t="inlineStr">
        <is>
          <t>source</t>
        </is>
      </c>
    </row>
    <row r="2">
      <c r="A2" t="inlineStr">
        <is>
          <t>insider_form</t>
        </is>
      </c>
      <c r="B2" t="inlineStr">
        <is>
          <t>4</t>
        </is>
      </c>
      <c r="C2" t="inlineStr">
        <is>
          <t>2026-04-21</t>
        </is>
      </c>
      <c r="D2" t="inlineStr">
        <is>
          <t>PRIMARY DOCUMENT</t>
        </is>
      </c>
      <c r="E2" t="inlineStr">
        <is>
          <t>data/capital_signals/insider_forms.json</t>
        </is>
      </c>
    </row>
    <row r="3">
      <c r="A3" t="inlineStr">
        <is>
          <t>insider_form</t>
        </is>
      </c>
      <c r="B3" t="inlineStr">
        <is>
          <t>4</t>
        </is>
      </c>
      <c r="C3" t="inlineStr">
        <is>
          <t>2026-04-21</t>
        </is>
      </c>
      <c r="D3" t="inlineStr">
        <is>
          <t>PRIMARY DOCUMENT</t>
        </is>
      </c>
      <c r="E3" t="inlineStr">
        <is>
          <t>data/capital_signals/insider_forms.json</t>
        </is>
      </c>
    </row>
    <row r="4">
      <c r="A4" t="inlineStr">
        <is>
          <t>insider_form</t>
        </is>
      </c>
      <c r="B4" t="inlineStr">
        <is>
          <t>4</t>
        </is>
      </c>
      <c r="C4" t="inlineStr">
        <is>
          <t>2026-03-24</t>
        </is>
      </c>
      <c r="D4" t="inlineStr">
        <is>
          <t>PRIMARY DOCUMENT</t>
        </is>
      </c>
      <c r="E4" t="inlineStr">
        <is>
          <t>data/capital_signals/insider_forms.json</t>
        </is>
      </c>
    </row>
    <row r="5">
      <c r="A5" t="inlineStr">
        <is>
          <t>insider_form</t>
        </is>
      </c>
      <c r="B5" t="inlineStr">
        <is>
          <t>4</t>
        </is>
      </c>
      <c r="C5" t="inlineStr">
        <is>
          <t>2026-03-05</t>
        </is>
      </c>
      <c r="D5" t="inlineStr">
        <is>
          <t>PRIMARY DOCUMENT</t>
        </is>
      </c>
      <c r="E5" t="inlineStr">
        <is>
          <t>data/capital_signals/insider_forms.json</t>
        </is>
      </c>
    </row>
    <row r="6">
      <c r="A6" t="inlineStr">
        <is>
          <t>insider_form</t>
        </is>
      </c>
      <c r="B6" t="inlineStr">
        <is>
          <t>4</t>
        </is>
      </c>
      <c r="C6" t="inlineStr">
        <is>
          <t>2026-02-27</t>
        </is>
      </c>
      <c r="D6" t="inlineStr">
        <is>
          <t>PRIMARY DOCUMENT</t>
        </is>
      </c>
      <c r="E6" t="inlineStr">
        <is>
          <t>data/capital_signals/insider_forms.json</t>
        </is>
      </c>
    </row>
    <row r="7">
      <c r="A7" t="inlineStr">
        <is>
          <t>insider_form</t>
        </is>
      </c>
      <c r="B7" t="inlineStr">
        <is>
          <t>4</t>
        </is>
      </c>
      <c r="C7" t="inlineStr">
        <is>
          <t>2026-02-27</t>
        </is>
      </c>
      <c r="D7" t="inlineStr">
        <is>
          <t>PRIMARY DOCUMENT</t>
        </is>
      </c>
      <c r="E7" t="inlineStr">
        <is>
          <t>data/capital_signals/insider_forms.json</t>
        </is>
      </c>
    </row>
    <row r="8">
      <c r="A8" t="inlineStr">
        <is>
          <t>insider_form</t>
        </is>
      </c>
      <c r="B8" t="inlineStr">
        <is>
          <t>4</t>
        </is>
      </c>
      <c r="C8" t="inlineStr">
        <is>
          <t>2026-02-27</t>
        </is>
      </c>
      <c r="D8" t="inlineStr">
        <is>
          <t>PRIMARY DOCUMENT</t>
        </is>
      </c>
      <c r="E8" t="inlineStr">
        <is>
          <t>data/capital_signals/insider_forms.json</t>
        </is>
      </c>
    </row>
    <row r="9">
      <c r="A9" t="inlineStr">
        <is>
          <t>insider_form</t>
        </is>
      </c>
      <c r="B9" t="inlineStr">
        <is>
          <t>4</t>
        </is>
      </c>
      <c r="C9" t="inlineStr">
        <is>
          <t>2026-02-26</t>
        </is>
      </c>
      <c r="D9" t="inlineStr">
        <is>
          <t>PRIMARY DOCUMENT</t>
        </is>
      </c>
      <c r="E9" t="inlineStr">
        <is>
          <t>data/capital_signals/insider_forms.json</t>
        </is>
      </c>
    </row>
    <row r="10">
      <c r="A10" t="inlineStr">
        <is>
          <t>insider_form</t>
        </is>
      </c>
      <c r="B10" t="inlineStr">
        <is>
          <t>4</t>
        </is>
      </c>
      <c r="C10" t="inlineStr">
        <is>
          <t>2026-02-24</t>
        </is>
      </c>
      <c r="D10" t="inlineStr">
        <is>
          <t>PRIMARY DOCUMENT</t>
        </is>
      </c>
      <c r="E10" t="inlineStr">
        <is>
          <t>data/capital_signals/insider_forms.json</t>
        </is>
      </c>
    </row>
    <row r="11">
      <c r="A11" t="inlineStr">
        <is>
          <t>insider_form</t>
        </is>
      </c>
      <c r="B11" t="inlineStr">
        <is>
          <t>4</t>
        </is>
      </c>
      <c r="C11" t="inlineStr">
        <is>
          <t>2026-02-24</t>
        </is>
      </c>
      <c r="D11" t="inlineStr">
        <is>
          <t>PRIMARY DOCUMENT</t>
        </is>
      </c>
      <c r="E11" t="inlineStr">
        <is>
          <t>data/capital_signals/insider_forms.json</t>
        </is>
      </c>
    </row>
    <row r="12">
      <c r="A12" t="inlineStr">
        <is>
          <t>insider_form</t>
        </is>
      </c>
      <c r="B12" t="inlineStr">
        <is>
          <t>4</t>
        </is>
      </c>
      <c r="C12" t="inlineStr">
        <is>
          <t>2026-02-24</t>
        </is>
      </c>
      <c r="D12" t="inlineStr">
        <is>
          <t>PRIMARY DOCUMENT</t>
        </is>
      </c>
      <c r="E12" t="inlineStr">
        <is>
          <t>data/capital_signals/insider_forms.json</t>
        </is>
      </c>
    </row>
    <row r="13">
      <c r="A13" t="inlineStr">
        <is>
          <t>insider_form</t>
        </is>
      </c>
      <c r="B13" t="inlineStr">
        <is>
          <t>4</t>
        </is>
      </c>
      <c r="C13" t="inlineStr">
        <is>
          <t>2026-02-24</t>
        </is>
      </c>
      <c r="D13" t="inlineStr">
        <is>
          <t>PRIMARY DOCUMENT</t>
        </is>
      </c>
      <c r="E13" t="inlineStr">
        <is>
          <t>data/capital_signals/insider_forms.json</t>
        </is>
      </c>
    </row>
    <row r="14">
      <c r="A14" t="inlineStr">
        <is>
          <t>insider_form</t>
        </is>
      </c>
      <c r="B14" t="inlineStr">
        <is>
          <t>4</t>
        </is>
      </c>
      <c r="C14" t="inlineStr">
        <is>
          <t>2026-01-21</t>
        </is>
      </c>
      <c r="D14" t="inlineStr">
        <is>
          <t>PRIMARY DOCUMENT</t>
        </is>
      </c>
      <c r="E14" t="inlineStr">
        <is>
          <t>data/capital_signals/insider_forms.json</t>
        </is>
      </c>
    </row>
    <row r="15">
      <c r="A15" t="inlineStr">
        <is>
          <t>insider_form</t>
        </is>
      </c>
      <c r="B15" t="inlineStr">
        <is>
          <t>4</t>
        </is>
      </c>
      <c r="C15" t="inlineStr">
        <is>
          <t>2026-01-02</t>
        </is>
      </c>
      <c r="D15" t="inlineStr">
        <is>
          <t>PRIMARY DOCUMENT</t>
        </is>
      </c>
      <c r="E15" t="inlineStr">
        <is>
          <t>data/capital_signals/insider_forms.json</t>
        </is>
      </c>
    </row>
    <row r="16">
      <c r="A16" t="inlineStr">
        <is>
          <t>insider_form</t>
        </is>
      </c>
      <c r="B16" t="inlineStr">
        <is>
          <t>3</t>
        </is>
      </c>
      <c r="C16" t="inlineStr">
        <is>
          <t>2026-01-02</t>
        </is>
      </c>
      <c r="D16" t="inlineStr">
        <is>
          <t>PRIMARY DOCUMENT</t>
        </is>
      </c>
      <c r="E16" t="inlineStr">
        <is>
          <t>data/capital_signals/insider_forms.json</t>
        </is>
      </c>
    </row>
    <row r="17">
      <c r="A17" t="inlineStr">
        <is>
          <t>insider_form</t>
        </is>
      </c>
      <c r="B17" t="inlineStr">
        <is>
          <t>4</t>
        </is>
      </c>
      <c r="C17" t="inlineStr">
        <is>
          <t>2025-12-23</t>
        </is>
      </c>
      <c r="D17" t="inlineStr">
        <is>
          <t>PRIMARY DOCUMENT</t>
        </is>
      </c>
      <c r="E17" t="inlineStr">
        <is>
          <t>data/capital_signals/insider_forms.json</t>
        </is>
      </c>
    </row>
    <row r="18">
      <c r="A18" t="inlineStr">
        <is>
          <t>insider_form</t>
        </is>
      </c>
      <c r="B18" t="inlineStr">
        <is>
          <t>4</t>
        </is>
      </c>
      <c r="C18" t="inlineStr">
        <is>
          <t>2025-12-04</t>
        </is>
      </c>
      <c r="D18" t="inlineStr">
        <is>
          <t>PRIMARY DOCUMENT</t>
        </is>
      </c>
      <c r="E18" t="inlineStr">
        <is>
          <t>data/capital_signals/insider_forms.json</t>
        </is>
      </c>
    </row>
    <row r="19">
      <c r="A19" t="inlineStr">
        <is>
          <t>insider_form</t>
        </is>
      </c>
      <c r="B19" t="inlineStr">
        <is>
          <t>4</t>
        </is>
      </c>
      <c r="C19" t="inlineStr">
        <is>
          <t>2025-11-26</t>
        </is>
      </c>
      <c r="D19" t="inlineStr">
        <is>
          <t>PRIMARY DOCUMENT</t>
        </is>
      </c>
      <c r="E19" t="inlineStr">
        <is>
          <t>data/capital_signals/insider_forms.json</t>
        </is>
      </c>
    </row>
    <row r="20">
      <c r="A20" t="inlineStr">
        <is>
          <t>insider_form</t>
        </is>
      </c>
      <c r="B20" t="inlineStr">
        <is>
          <t>4</t>
        </is>
      </c>
      <c r="C20" t="inlineStr">
        <is>
          <t>2025-11-26</t>
        </is>
      </c>
      <c r="D20" t="inlineStr">
        <is>
          <t>PRIMARY DOCUMENT</t>
        </is>
      </c>
      <c r="E20" t="inlineStr">
        <is>
          <t>data/capital_signals/insider_forms.json</t>
        </is>
      </c>
    </row>
    <row r="21">
      <c r="A21" t="inlineStr">
        <is>
          <t>insider_form</t>
        </is>
      </c>
      <c r="B21" t="inlineStr">
        <is>
          <t>4</t>
        </is>
      </c>
      <c r="C21" t="inlineStr">
        <is>
          <t>2025-11-26</t>
        </is>
      </c>
      <c r="D21" t="inlineStr">
        <is>
          <t>PRIMARY DOCUMENT</t>
        </is>
      </c>
      <c r="E21" t="inlineStr">
        <is>
          <t>data/capital_signals/insider_forms.json</t>
        </is>
      </c>
    </row>
    <row r="22">
      <c r="A22" t="inlineStr">
        <is>
          <t>insider_form</t>
        </is>
      </c>
      <c r="B22" t="inlineStr">
        <is>
          <t>4</t>
        </is>
      </c>
      <c r="C22" t="inlineStr">
        <is>
          <t>2025-11-24</t>
        </is>
      </c>
      <c r="D22" t="inlineStr">
        <is>
          <t>PRIMARY DOCUMENT</t>
        </is>
      </c>
      <c r="E22" t="inlineStr">
        <is>
          <t>data/capital_signals/insider_forms.json</t>
        </is>
      </c>
    </row>
    <row r="23">
      <c r="A23" t="inlineStr">
        <is>
          <t>insider_form</t>
        </is>
      </c>
      <c r="B23" t="inlineStr">
        <is>
          <t>4</t>
        </is>
      </c>
      <c r="C23" t="inlineStr">
        <is>
          <t>2025-11-24</t>
        </is>
      </c>
      <c r="D23" t="inlineStr">
        <is>
          <t>PRIMARY DOCUMENT</t>
        </is>
      </c>
      <c r="E23" t="inlineStr">
        <is>
          <t>data/capital_signals/insider_forms.json</t>
        </is>
      </c>
    </row>
    <row r="24">
      <c r="A24" t="inlineStr">
        <is>
          <t>insider_form</t>
        </is>
      </c>
      <c r="B24" t="inlineStr">
        <is>
          <t>4</t>
        </is>
      </c>
      <c r="C24" t="inlineStr">
        <is>
          <t>2025-11-24</t>
        </is>
      </c>
      <c r="D24" t="inlineStr">
        <is>
          <t>PRIMARY DOCUMENT</t>
        </is>
      </c>
      <c r="E24" t="inlineStr">
        <is>
          <t>data/capital_signals/insider_forms.json</t>
        </is>
      </c>
    </row>
    <row r="25">
      <c r="A25" t="inlineStr">
        <is>
          <t>insider_form</t>
        </is>
      </c>
      <c r="B25" t="inlineStr">
        <is>
          <t>4</t>
        </is>
      </c>
      <c r="C25" t="inlineStr">
        <is>
          <t>2025-11-24</t>
        </is>
      </c>
      <c r="D25" t="inlineStr">
        <is>
          <t>PRIMARY DOCUMENT</t>
        </is>
      </c>
      <c r="E25" t="inlineStr">
        <is>
          <t>data/capital_signals/insider_forms.json</t>
        </is>
      </c>
    </row>
    <row r="26">
      <c r="A26" t="inlineStr">
        <is>
          <t>insider_form</t>
        </is>
      </c>
      <c r="B26" t="inlineStr">
        <is>
          <t>4</t>
        </is>
      </c>
      <c r="C26" t="inlineStr">
        <is>
          <t>2025-11-24</t>
        </is>
      </c>
      <c r="D26" t="inlineStr">
        <is>
          <t>PRIMARY DOCUMENT</t>
        </is>
      </c>
      <c r="E26" t="inlineStr">
        <is>
          <t>data/capital_signals/insider_forms.json</t>
        </is>
      </c>
    </row>
    <row r="27">
      <c r="A27" t="inlineStr">
        <is>
          <t>insider_form</t>
        </is>
      </c>
      <c r="B27" t="inlineStr">
        <is>
          <t>4</t>
        </is>
      </c>
      <c r="C27" t="inlineStr">
        <is>
          <t>2025-11-19</t>
        </is>
      </c>
      <c r="D27" t="inlineStr">
        <is>
          <t>PRIMARY DOCUMENT</t>
        </is>
      </c>
      <c r="E27" t="inlineStr">
        <is>
          <t>data/capital_signals/insider_forms.json</t>
        </is>
      </c>
    </row>
    <row r="28">
      <c r="A28" t="inlineStr">
        <is>
          <t>insider_form</t>
        </is>
      </c>
      <c r="B28" t="inlineStr">
        <is>
          <t>4</t>
        </is>
      </c>
      <c r="C28" t="inlineStr">
        <is>
          <t>2025-11-19</t>
        </is>
      </c>
      <c r="D28" t="inlineStr">
        <is>
          <t>PRIMARY DOCUMENT</t>
        </is>
      </c>
      <c r="E28" t="inlineStr">
        <is>
          <t>data/capital_signals/insider_forms.json</t>
        </is>
      </c>
    </row>
    <row r="29">
      <c r="A29" t="inlineStr">
        <is>
          <t>insider_form</t>
        </is>
      </c>
      <c r="B29" t="inlineStr">
        <is>
          <t>4</t>
        </is>
      </c>
      <c r="C29" t="inlineStr">
        <is>
          <t>2025-11-19</t>
        </is>
      </c>
      <c r="D29" t="inlineStr">
        <is>
          <t>PRIMARY DOCUMENT</t>
        </is>
      </c>
      <c r="E29" t="inlineStr">
        <is>
          <t>data/capital_signals/insider_forms.json</t>
        </is>
      </c>
    </row>
    <row r="30">
      <c r="A30" t="inlineStr">
        <is>
          <t>insider_form</t>
        </is>
      </c>
      <c r="B30" t="inlineStr">
        <is>
          <t>4</t>
        </is>
      </c>
      <c r="C30" t="inlineStr">
        <is>
          <t>2025-11-19</t>
        </is>
      </c>
      <c r="D30" t="inlineStr">
        <is>
          <t>PRIMARY DOCUMENT</t>
        </is>
      </c>
      <c r="E30" t="inlineStr">
        <is>
          <t>data/capital_signals/insider_forms.json</t>
        </is>
      </c>
    </row>
    <row r="31">
      <c r="A31" t="inlineStr">
        <is>
          <t>insider_form</t>
        </is>
      </c>
      <c r="B31" t="inlineStr">
        <is>
          <t>4</t>
        </is>
      </c>
      <c r="C31" t="inlineStr">
        <is>
          <t>2025-11-19</t>
        </is>
      </c>
      <c r="D31" t="inlineStr">
        <is>
          <t>PRIMARY DOCUMENT</t>
        </is>
      </c>
      <c r="E31" t="inlineStr">
        <is>
          <t>data/capital_signals/insider_forms.json</t>
        </is>
      </c>
    </row>
    <row r="32">
      <c r="A32" t="inlineStr">
        <is>
          <t>insider_form</t>
        </is>
      </c>
      <c r="B32" t="inlineStr">
        <is>
          <t>4</t>
        </is>
      </c>
      <c r="C32" t="inlineStr">
        <is>
          <t>2025-11-19</t>
        </is>
      </c>
      <c r="D32" t="inlineStr">
        <is>
          <t>PRIMARY DOCUMENT</t>
        </is>
      </c>
      <c r="E32" t="inlineStr">
        <is>
          <t>data/capital_signals/insider_forms.json</t>
        </is>
      </c>
    </row>
    <row r="33">
      <c r="A33" t="inlineStr">
        <is>
          <t>insider_form</t>
        </is>
      </c>
      <c r="B33" t="inlineStr">
        <is>
          <t>4</t>
        </is>
      </c>
      <c r="C33" t="inlineStr">
        <is>
          <t>2025-10-21</t>
        </is>
      </c>
      <c r="D33" t="inlineStr">
        <is>
          <t>PRIMARY DOCUMENT</t>
        </is>
      </c>
      <c r="E33" t="inlineStr">
        <is>
          <t>data/capital_signals/insider_forms.json</t>
        </is>
      </c>
    </row>
    <row r="34">
      <c r="A34" t="inlineStr">
        <is>
          <t>insider_form</t>
        </is>
      </c>
      <c r="B34" t="inlineStr">
        <is>
          <t>4</t>
        </is>
      </c>
      <c r="C34" t="inlineStr">
        <is>
          <t>2025-09-22</t>
        </is>
      </c>
      <c r="D34" t="inlineStr">
        <is>
          <t>PRIMARY DOCUMENT</t>
        </is>
      </c>
      <c r="E34" t="inlineStr">
        <is>
          <t>data/capital_signals/insider_forms.json</t>
        </is>
      </c>
    </row>
    <row r="35">
      <c r="A35" t="inlineStr">
        <is>
          <t>insider_form</t>
        </is>
      </c>
      <c r="B35" t="inlineStr">
        <is>
          <t>4</t>
        </is>
      </c>
      <c r="C35" t="inlineStr">
        <is>
          <t>2025-09-04</t>
        </is>
      </c>
      <c r="D35" t="inlineStr">
        <is>
          <t>PRIMARY DOCUMENT</t>
        </is>
      </c>
      <c r="E35" t="inlineStr">
        <is>
          <t>data/capital_signals/insider_forms.json</t>
        </is>
      </c>
    </row>
    <row r="36">
      <c r="A36" t="inlineStr">
        <is>
          <t>insider_form</t>
        </is>
      </c>
      <c r="B36" t="inlineStr">
        <is>
          <t>4</t>
        </is>
      </c>
      <c r="C36" t="inlineStr">
        <is>
          <t>2025-09-04</t>
        </is>
      </c>
      <c r="D36" t="inlineStr">
        <is>
          <t>PRIMARY DOCUMENT</t>
        </is>
      </c>
      <c r="E36" t="inlineStr">
        <is>
          <t>data/capital_signals/insider_forms.json</t>
        </is>
      </c>
    </row>
    <row r="37">
      <c r="A37" t="inlineStr">
        <is>
          <t>insider_form</t>
        </is>
      </c>
      <c r="B37" t="inlineStr">
        <is>
          <t>4</t>
        </is>
      </c>
      <c r="C37" t="inlineStr">
        <is>
          <t>2025-09-04</t>
        </is>
      </c>
      <c r="D37" t="inlineStr">
        <is>
          <t>PRIMARY DOCUMENT</t>
        </is>
      </c>
      <c r="E37" t="inlineStr">
        <is>
          <t>data/capital_signals/insider_forms.json</t>
        </is>
      </c>
    </row>
    <row r="38">
      <c r="A38" t="inlineStr">
        <is>
          <t>insider_form</t>
        </is>
      </c>
      <c r="B38" t="inlineStr">
        <is>
          <t>4</t>
        </is>
      </c>
      <c r="C38" t="inlineStr">
        <is>
          <t>2025-09-04</t>
        </is>
      </c>
      <c r="D38" t="inlineStr">
        <is>
          <t>PRIMARY DOCUMENT</t>
        </is>
      </c>
      <c r="E38" t="inlineStr">
        <is>
          <t>data/capital_signals/insider_forms.json</t>
        </is>
      </c>
    </row>
    <row r="39">
      <c r="A39" t="inlineStr">
        <is>
          <t>insider_form</t>
        </is>
      </c>
      <c r="B39" t="inlineStr">
        <is>
          <t>4</t>
        </is>
      </c>
      <c r="C39" t="inlineStr">
        <is>
          <t>2025-09-04</t>
        </is>
      </c>
      <c r="D39" t="inlineStr">
        <is>
          <t>PRIMARY DOCUMENT</t>
        </is>
      </c>
      <c r="E39" t="inlineStr">
        <is>
          <t>data/capital_signals/insider_forms.json</t>
        </is>
      </c>
    </row>
    <row r="40">
      <c r="A40" t="inlineStr">
        <is>
          <t>insider_form</t>
        </is>
      </c>
      <c r="B40" t="inlineStr">
        <is>
          <t>4</t>
        </is>
      </c>
      <c r="C40" t="inlineStr">
        <is>
          <t>2025-08-27</t>
        </is>
      </c>
      <c r="D40" t="inlineStr">
        <is>
          <t>PRIMARY DOCUMENT</t>
        </is>
      </c>
      <c r="E40" t="inlineStr">
        <is>
          <t>data/capital_signals/insider_forms.json</t>
        </is>
      </c>
    </row>
    <row r="41">
      <c r="A41" t="inlineStr">
        <is>
          <t>insider_form</t>
        </is>
      </c>
      <c r="B41" t="inlineStr">
        <is>
          <t>4</t>
        </is>
      </c>
      <c r="C41" t="inlineStr">
        <is>
          <t>2025-08-27</t>
        </is>
      </c>
      <c r="D41" t="inlineStr">
        <is>
          <t>PRIMARY DOCUMENT</t>
        </is>
      </c>
      <c r="E41" t="inlineStr">
        <is>
          <t>data/capital_signals/insider_forms.json</t>
        </is>
      </c>
    </row>
    <row r="42">
      <c r="A42" t="inlineStr">
        <is>
          <t>insider_form</t>
        </is>
      </c>
      <c r="B42" t="inlineStr">
        <is>
          <t>4</t>
        </is>
      </c>
      <c r="C42" t="inlineStr">
        <is>
          <t>2025-08-27</t>
        </is>
      </c>
      <c r="D42" t="inlineStr">
        <is>
          <t>PRIMARY DOCUMENT</t>
        </is>
      </c>
      <c r="E42" t="inlineStr">
        <is>
          <t>data/capital_signals/insider_forms.json</t>
        </is>
      </c>
    </row>
    <row r="43">
      <c r="A43" t="inlineStr">
        <is>
          <t>insider_form</t>
        </is>
      </c>
      <c r="B43" t="inlineStr">
        <is>
          <t>4</t>
        </is>
      </c>
      <c r="C43" t="inlineStr">
        <is>
          <t>2025-08-22</t>
        </is>
      </c>
      <c r="D43" t="inlineStr">
        <is>
          <t>PRIMARY DOCUMENT</t>
        </is>
      </c>
      <c r="E43" t="inlineStr">
        <is>
          <t>data/capital_signals/insider_forms.json</t>
        </is>
      </c>
    </row>
    <row r="44">
      <c r="A44" t="inlineStr">
        <is>
          <t>insider_form</t>
        </is>
      </c>
      <c r="B44" t="inlineStr">
        <is>
          <t>4</t>
        </is>
      </c>
      <c r="C44" t="inlineStr">
        <is>
          <t>2025-08-22</t>
        </is>
      </c>
      <c r="D44" t="inlineStr">
        <is>
          <t>PRIMARY DOCUMENT</t>
        </is>
      </c>
      <c r="E44" t="inlineStr">
        <is>
          <t>data/capital_signals/insider_forms.json</t>
        </is>
      </c>
    </row>
    <row r="45">
      <c r="A45" t="inlineStr">
        <is>
          <t>insider_form</t>
        </is>
      </c>
      <c r="B45" t="inlineStr">
        <is>
          <t>4</t>
        </is>
      </c>
      <c r="C45" t="inlineStr">
        <is>
          <t>2025-08-22</t>
        </is>
      </c>
      <c r="D45" t="inlineStr">
        <is>
          <t>PRIMARY DOCUMENT</t>
        </is>
      </c>
      <c r="E45" t="inlineStr">
        <is>
          <t>data/capital_signals/insider_forms.json</t>
        </is>
      </c>
    </row>
    <row r="46">
      <c r="A46" t="inlineStr">
        <is>
          <t>insider_form</t>
        </is>
      </c>
      <c r="B46" t="inlineStr">
        <is>
          <t>4</t>
        </is>
      </c>
      <c r="C46" t="inlineStr">
        <is>
          <t>2025-08-22</t>
        </is>
      </c>
      <c r="D46" t="inlineStr">
        <is>
          <t>PRIMARY DOCUMENT</t>
        </is>
      </c>
      <c r="E46" t="inlineStr">
        <is>
          <t>data/capital_signals/insider_forms.json</t>
        </is>
      </c>
    </row>
    <row r="47">
      <c r="A47" t="inlineStr">
        <is>
          <t>insider_form</t>
        </is>
      </c>
      <c r="B47" t="inlineStr">
        <is>
          <t>4</t>
        </is>
      </c>
      <c r="C47" t="inlineStr">
        <is>
          <t>2025-07-22</t>
        </is>
      </c>
      <c r="D47" t="inlineStr">
        <is>
          <t>PRIMARY DOCUMENT</t>
        </is>
      </c>
      <c r="E47" t="inlineStr">
        <is>
          <t>data/capital_signals/insider_forms.json</t>
        </is>
      </c>
    </row>
    <row r="48">
      <c r="A48" t="inlineStr">
        <is>
          <t>insider_form</t>
        </is>
      </c>
      <c r="B48" t="inlineStr">
        <is>
          <t>4</t>
        </is>
      </c>
      <c r="C48" t="inlineStr">
        <is>
          <t>2025-06-24</t>
        </is>
      </c>
      <c r="D48" t="inlineStr">
        <is>
          <t>PRIMARY DOCUMENT</t>
        </is>
      </c>
      <c r="E48" t="inlineStr">
        <is>
          <t>data/capital_signals/insider_forms.json</t>
        </is>
      </c>
    </row>
    <row r="49">
      <c r="A49" t="inlineStr">
        <is>
          <t>insider_form</t>
        </is>
      </c>
      <c r="B49" t="inlineStr">
        <is>
          <t>4</t>
        </is>
      </c>
      <c r="C49" t="inlineStr">
        <is>
          <t>2025-06-09</t>
        </is>
      </c>
      <c r="D49" t="inlineStr">
        <is>
          <t>PRIMARY DOCUMENT</t>
        </is>
      </c>
      <c r="E49" t="inlineStr">
        <is>
          <t>data/capital_signals/insider_forms.json</t>
        </is>
      </c>
    </row>
    <row r="50">
      <c r="A50" t="inlineStr">
        <is>
          <t>insider_form</t>
        </is>
      </c>
      <c r="B50" t="inlineStr">
        <is>
          <t>4</t>
        </is>
      </c>
      <c r="C50" t="inlineStr">
        <is>
          <t>2025-05-28</t>
        </is>
      </c>
      <c r="D50" t="inlineStr">
        <is>
          <t>PRIMARY DOCUMENT</t>
        </is>
      </c>
      <c r="E50" t="inlineStr">
        <is>
          <t>data/capital_signals/insider_forms.json</t>
        </is>
      </c>
    </row>
    <row r="51">
      <c r="A51" t="inlineStr">
        <is>
          <t>insider_form</t>
        </is>
      </c>
      <c r="B51" t="inlineStr">
        <is>
          <t>4</t>
        </is>
      </c>
      <c r="C51" t="inlineStr">
        <is>
          <t>2025-05-28</t>
        </is>
      </c>
      <c r="D51" t="inlineStr">
        <is>
          <t>PRIMARY DOCUMENT</t>
        </is>
      </c>
      <c r="E51" t="inlineStr">
        <is>
          <t>data/capital_signals/insider_forms.json</t>
        </is>
      </c>
    </row>
    <row r="52">
      <c r="A52" t="inlineStr">
        <is>
          <t>insider_form</t>
        </is>
      </c>
      <c r="B52" t="inlineStr">
        <is>
          <t>4</t>
        </is>
      </c>
      <c r="C52" t="inlineStr">
        <is>
          <t>2025-05-28</t>
        </is>
      </c>
      <c r="D52" t="inlineStr">
        <is>
          <t>PRIMARY DOCUMENT</t>
        </is>
      </c>
      <c r="E52" t="inlineStr">
        <is>
          <t>data/capital_signals/insider_forms.json</t>
        </is>
      </c>
    </row>
    <row r="53">
      <c r="A53" t="inlineStr">
        <is>
          <t>insider_form</t>
        </is>
      </c>
      <c r="B53" t="inlineStr">
        <is>
          <t>4</t>
        </is>
      </c>
      <c r="C53" t="inlineStr">
        <is>
          <t>2025-05-22</t>
        </is>
      </c>
      <c r="D53" t="inlineStr">
        <is>
          <t>PRIMARY DOCUMENT</t>
        </is>
      </c>
      <c r="E53" t="inlineStr">
        <is>
          <t>data/capital_signals/insider_forms.json</t>
        </is>
      </c>
    </row>
    <row r="54">
      <c r="A54" t="inlineStr">
        <is>
          <t>insider_form</t>
        </is>
      </c>
      <c r="B54" t="inlineStr">
        <is>
          <t>4</t>
        </is>
      </c>
      <c r="C54" t="inlineStr">
        <is>
          <t>2025-05-22</t>
        </is>
      </c>
      <c r="D54" t="inlineStr">
        <is>
          <t>PRIMARY DOCUMENT</t>
        </is>
      </c>
      <c r="E54" t="inlineStr">
        <is>
          <t>data/capital_signals/insider_forms.json</t>
        </is>
      </c>
    </row>
    <row r="55">
      <c r="A55" t="inlineStr">
        <is>
          <t>insider_form</t>
        </is>
      </c>
      <c r="B55" t="inlineStr">
        <is>
          <t>4</t>
        </is>
      </c>
      <c r="C55" t="inlineStr">
        <is>
          <t>2025-05-22</t>
        </is>
      </c>
      <c r="D55" t="inlineStr">
        <is>
          <t>PRIMARY DOCUMENT</t>
        </is>
      </c>
      <c r="E55" t="inlineStr">
        <is>
          <t>data/capital_signals/insider_forms.json</t>
        </is>
      </c>
    </row>
    <row r="56">
      <c r="A56" t="inlineStr">
        <is>
          <t>insider_form</t>
        </is>
      </c>
      <c r="B56" t="inlineStr">
        <is>
          <t>4</t>
        </is>
      </c>
      <c r="C56" t="inlineStr">
        <is>
          <t>2025-05-13</t>
        </is>
      </c>
      <c r="D56" t="inlineStr">
        <is>
          <t>PRIMARY DOCUMENT</t>
        </is>
      </c>
      <c r="E56" t="inlineStr">
        <is>
          <t>data/capital_signals/insider_forms.json</t>
        </is>
      </c>
    </row>
    <row r="57">
      <c r="A57" t="inlineStr">
        <is>
          <t>insider_form</t>
        </is>
      </c>
      <c r="B57" t="inlineStr">
        <is>
          <t>4</t>
        </is>
      </c>
      <c r="C57" t="inlineStr">
        <is>
          <t>2025-05-13</t>
        </is>
      </c>
      <c r="D57" t="inlineStr">
        <is>
          <t>PRIMARY DOCUMENT</t>
        </is>
      </c>
      <c r="E57" t="inlineStr">
        <is>
          <t>data/capital_signals/insider_forms.json</t>
        </is>
      </c>
    </row>
    <row r="58">
      <c r="A58" t="inlineStr">
        <is>
          <t>insider_form</t>
        </is>
      </c>
      <c r="B58" t="inlineStr">
        <is>
          <t>4</t>
        </is>
      </c>
      <c r="C58" t="inlineStr">
        <is>
          <t>2025-05-13</t>
        </is>
      </c>
      <c r="D58" t="inlineStr">
        <is>
          <t>PRIMARY DOCUMENT</t>
        </is>
      </c>
      <c r="E58" t="inlineStr">
        <is>
          <t>data/capital_signals/insider_forms.json</t>
        </is>
      </c>
    </row>
    <row r="59">
      <c r="A59" t="inlineStr">
        <is>
          <t>insider_form</t>
        </is>
      </c>
      <c r="B59" t="inlineStr">
        <is>
          <t>4</t>
        </is>
      </c>
      <c r="C59" t="inlineStr">
        <is>
          <t>2025-05-13</t>
        </is>
      </c>
      <c r="D59" t="inlineStr">
        <is>
          <t>PRIMARY DOCUMENT</t>
        </is>
      </c>
      <c r="E59" t="inlineStr">
        <is>
          <t>data/capital_signals/insider_forms.json</t>
        </is>
      </c>
    </row>
    <row r="60">
      <c r="A60" t="inlineStr">
        <is>
          <t>insider_form</t>
        </is>
      </c>
      <c r="B60" t="inlineStr">
        <is>
          <t>4</t>
        </is>
      </c>
      <c r="C60" t="inlineStr">
        <is>
          <t>2025-05-13</t>
        </is>
      </c>
      <c r="D60" t="inlineStr">
        <is>
          <t>PRIMARY DOCUMENT</t>
        </is>
      </c>
      <c r="E60" t="inlineStr">
        <is>
          <t>data/capital_signals/insider_forms.json</t>
        </is>
      </c>
    </row>
    <row r="61">
      <c r="A61" t="inlineStr">
        <is>
          <t>insider_form</t>
        </is>
      </c>
      <c r="B61" t="inlineStr">
        <is>
          <t>4</t>
        </is>
      </c>
      <c r="C61" t="inlineStr">
        <is>
          <t>2025-04-21</t>
        </is>
      </c>
      <c r="D61" t="inlineStr">
        <is>
          <t>PRIMARY DOCUMENT</t>
        </is>
      </c>
      <c r="E61" t="inlineStr">
        <is>
          <t>data/capital_signals/insider_forms.json</t>
        </is>
      </c>
    </row>
    <row r="62">
      <c r="A62" t="inlineStr">
        <is>
          <t>insider_form</t>
        </is>
      </c>
      <c r="B62" t="inlineStr">
        <is>
          <t>4</t>
        </is>
      </c>
      <c r="C62" t="inlineStr">
        <is>
          <t>2025-04-21</t>
        </is>
      </c>
      <c r="D62" t="inlineStr">
        <is>
          <t>PRIMARY DOCUMENT</t>
        </is>
      </c>
      <c r="E62" t="inlineStr">
        <is>
          <t>data/capital_signals/insider_forms.json</t>
        </is>
      </c>
    </row>
    <row r="63">
      <c r="A63" t="inlineStr">
        <is>
          <t>insider_form</t>
        </is>
      </c>
      <c r="B63" t="inlineStr">
        <is>
          <t>4</t>
        </is>
      </c>
      <c r="C63" t="inlineStr">
        <is>
          <t>2025-03-24</t>
        </is>
      </c>
      <c r="D63" t="inlineStr">
        <is>
          <t>PRIMARY DOCUMENT</t>
        </is>
      </c>
      <c r="E63" t="inlineStr">
        <is>
          <t>data/capital_signals/insider_forms.json</t>
        </is>
      </c>
    </row>
    <row r="64">
      <c r="A64" t="inlineStr">
        <is>
          <t>insider_form</t>
        </is>
      </c>
      <c r="B64" t="inlineStr">
        <is>
          <t>4</t>
        </is>
      </c>
      <c r="C64" t="inlineStr">
        <is>
          <t>2025-03-24</t>
        </is>
      </c>
      <c r="D64" t="inlineStr">
        <is>
          <t>PRIMARY DOCUMENT</t>
        </is>
      </c>
      <c r="E64" t="inlineStr">
        <is>
          <t>data/capital_signals/insider_forms.json</t>
        </is>
      </c>
    </row>
    <row r="65">
      <c r="A65" t="inlineStr">
        <is>
          <t>insider_form</t>
        </is>
      </c>
      <c r="B65" t="inlineStr">
        <is>
          <t>4</t>
        </is>
      </c>
      <c r="C65" t="inlineStr">
        <is>
          <t>2025-03-14</t>
        </is>
      </c>
      <c r="D65" t="inlineStr">
        <is>
          <t>PRIMARY DOCUMENT</t>
        </is>
      </c>
      <c r="E65" t="inlineStr">
        <is>
          <t>data/capital_signals/insider_forms.json</t>
        </is>
      </c>
    </row>
    <row r="66">
      <c r="A66" t="inlineStr">
        <is>
          <t>insider_form</t>
        </is>
      </c>
      <c r="B66" t="inlineStr">
        <is>
          <t>4</t>
        </is>
      </c>
      <c r="C66" t="inlineStr">
        <is>
          <t>2025-03-14</t>
        </is>
      </c>
      <c r="D66" t="inlineStr">
        <is>
          <t>PRIMARY DOCUMENT</t>
        </is>
      </c>
      <c r="E66" t="inlineStr">
        <is>
          <t>data/capital_signals/insider_forms.json</t>
        </is>
      </c>
    </row>
    <row r="67">
      <c r="A67" t="inlineStr">
        <is>
          <t>insider_form</t>
        </is>
      </c>
      <c r="B67" t="inlineStr">
        <is>
          <t>3</t>
        </is>
      </c>
      <c r="C67" t="inlineStr">
        <is>
          <t>2025-03-14</t>
        </is>
      </c>
      <c r="D67" t="inlineStr">
        <is>
          <t>PRIMARY DOCUMENT</t>
        </is>
      </c>
      <c r="E67" t="inlineStr">
        <is>
          <t>data/capital_signals/insider_forms.json</t>
        </is>
      </c>
    </row>
    <row r="68">
      <c r="A68" t="inlineStr">
        <is>
          <t>insider_form</t>
        </is>
      </c>
      <c r="B68" t="inlineStr">
        <is>
          <t>3</t>
        </is>
      </c>
      <c r="C68" t="inlineStr">
        <is>
          <t>2025-03-14</t>
        </is>
      </c>
      <c r="D68" t="inlineStr">
        <is>
          <t>PRIMARY DOCUMENT</t>
        </is>
      </c>
      <c r="E68" t="inlineStr">
        <is>
          <t>data/capital_signals/insider_forms.json</t>
        </is>
      </c>
    </row>
    <row r="69">
      <c r="A69" t="inlineStr">
        <is>
          <t>insider_form</t>
        </is>
      </c>
      <c r="B69" t="inlineStr">
        <is>
          <t>3</t>
        </is>
      </c>
      <c r="C69" t="inlineStr">
        <is>
          <t>2025-03-14</t>
        </is>
      </c>
      <c r="D69" t="inlineStr">
        <is>
          <t>PRIMARY DOCUMENT</t>
        </is>
      </c>
      <c r="E69" t="inlineStr">
        <is>
          <t>data/capital_signals/insider_forms.json</t>
        </is>
      </c>
    </row>
    <row r="70">
      <c r="A70" t="inlineStr">
        <is>
          <t>insider_form</t>
        </is>
      </c>
      <c r="B70" t="inlineStr">
        <is>
          <t>4</t>
        </is>
      </c>
      <c r="C70" t="inlineStr">
        <is>
          <t>2025-03-04</t>
        </is>
      </c>
      <c r="D70" t="inlineStr">
        <is>
          <t>PRIMARY DOCUMENT</t>
        </is>
      </c>
      <c r="E70" t="inlineStr">
        <is>
          <t>data/capital_signals/insider_forms.json</t>
        </is>
      </c>
    </row>
    <row r="71">
      <c r="A71" t="inlineStr">
        <is>
          <t>insider_form</t>
        </is>
      </c>
      <c r="B71" t="inlineStr">
        <is>
          <t>4</t>
        </is>
      </c>
      <c r="C71" t="inlineStr">
        <is>
          <t>2025-03-04</t>
        </is>
      </c>
      <c r="D71" t="inlineStr">
        <is>
          <t>PRIMARY DOCUMENT</t>
        </is>
      </c>
      <c r="E71" t="inlineStr">
        <is>
          <t>data/capital_signals/insider_forms.json</t>
        </is>
      </c>
    </row>
    <row r="72">
      <c r="A72" t="inlineStr">
        <is>
          <t>insider_form</t>
        </is>
      </c>
      <c r="B72" t="inlineStr">
        <is>
          <t>4</t>
        </is>
      </c>
      <c r="C72" t="inlineStr">
        <is>
          <t>2025-03-04</t>
        </is>
      </c>
      <c r="D72" t="inlineStr">
        <is>
          <t>PRIMARY DOCUMENT</t>
        </is>
      </c>
      <c r="E72" t="inlineStr">
        <is>
          <t>data/capital_signals/insider_forms.json</t>
        </is>
      </c>
    </row>
    <row r="73">
      <c r="A73" t="inlineStr">
        <is>
          <t>insider_form</t>
        </is>
      </c>
      <c r="B73" t="inlineStr">
        <is>
          <t>4</t>
        </is>
      </c>
      <c r="C73" t="inlineStr">
        <is>
          <t>2025-03-04</t>
        </is>
      </c>
      <c r="D73" t="inlineStr">
        <is>
          <t>PRIMARY DOCUMENT</t>
        </is>
      </c>
      <c r="E73" t="inlineStr">
        <is>
          <t>data/capital_signals/insider_forms.json</t>
        </is>
      </c>
    </row>
    <row r="74">
      <c r="A74" t="inlineStr">
        <is>
          <t>insider_form</t>
        </is>
      </c>
      <c r="B74" t="inlineStr">
        <is>
          <t>4</t>
        </is>
      </c>
      <c r="C74" t="inlineStr">
        <is>
          <t>2025-03-04</t>
        </is>
      </c>
      <c r="D74" t="inlineStr">
        <is>
          <t>PRIMARY DOCUMENT</t>
        </is>
      </c>
      <c r="E74" t="inlineStr">
        <is>
          <t>data/capital_signals/insider_forms.json</t>
        </is>
      </c>
    </row>
    <row r="75">
      <c r="A75" t="inlineStr">
        <is>
          <t>insider_form</t>
        </is>
      </c>
      <c r="B75" t="inlineStr">
        <is>
          <t>4</t>
        </is>
      </c>
      <c r="C75" t="inlineStr">
        <is>
          <t>2025-03-04</t>
        </is>
      </c>
      <c r="D75" t="inlineStr">
        <is>
          <t>PRIMARY DOCUMENT</t>
        </is>
      </c>
      <c r="E75" t="inlineStr">
        <is>
          <t>data/capital_signals/insider_forms.json</t>
        </is>
      </c>
    </row>
    <row r="76">
      <c r="A76" t="inlineStr">
        <is>
          <t>insider_form</t>
        </is>
      </c>
      <c r="B76" t="inlineStr">
        <is>
          <t>4</t>
        </is>
      </c>
      <c r="C76" t="inlineStr">
        <is>
          <t>2025-03-04</t>
        </is>
      </c>
      <c r="D76" t="inlineStr">
        <is>
          <t>PRIMARY DOCUMENT</t>
        </is>
      </c>
      <c r="E76" t="inlineStr">
        <is>
          <t>data/capital_signals/insider_forms.json</t>
        </is>
      </c>
    </row>
    <row r="77">
      <c r="A77" t="inlineStr">
        <is>
          <t>insider_form</t>
        </is>
      </c>
      <c r="B77" t="inlineStr">
        <is>
          <t>4</t>
        </is>
      </c>
      <c r="C77" t="inlineStr">
        <is>
          <t>2025-03-04</t>
        </is>
      </c>
      <c r="D77" t="inlineStr">
        <is>
          <t>PRIMARY DOCUMENT</t>
        </is>
      </c>
      <c r="E77" t="inlineStr">
        <is>
          <t>data/capital_signals/insider_forms.json</t>
        </is>
      </c>
    </row>
    <row r="78">
      <c r="A78" t="inlineStr">
        <is>
          <t>insider_form</t>
        </is>
      </c>
      <c r="B78" t="inlineStr">
        <is>
          <t>3</t>
        </is>
      </c>
      <c r="C78" t="inlineStr">
        <is>
          <t>2025-03-03</t>
        </is>
      </c>
      <c r="D78" t="inlineStr">
        <is>
          <t>PRIMARY DOCUMENT</t>
        </is>
      </c>
      <c r="E78" t="inlineStr">
        <is>
          <t>data/capital_signals/insider_forms.json</t>
        </is>
      </c>
    </row>
    <row r="79">
      <c r="A79" t="inlineStr">
        <is>
          <t>insider_form</t>
        </is>
      </c>
      <c r="B79" t="inlineStr">
        <is>
          <t>3</t>
        </is>
      </c>
      <c r="C79" t="inlineStr">
        <is>
          <t>2025-03-03</t>
        </is>
      </c>
      <c r="D79" t="inlineStr">
        <is>
          <t>PRIMARY DOCUMENT</t>
        </is>
      </c>
      <c r="E79" t="inlineStr">
        <is>
          <t>data/capital_signals/insider_forms.json</t>
        </is>
      </c>
    </row>
    <row r="80">
      <c r="A80" t="inlineStr">
        <is>
          <t>insider_form</t>
        </is>
      </c>
      <c r="B80" t="inlineStr">
        <is>
          <t>3</t>
        </is>
      </c>
      <c r="C80" t="inlineStr">
        <is>
          <t>2025-03-03</t>
        </is>
      </c>
      <c r="D80" t="inlineStr">
        <is>
          <t>PRIMARY DOCUMENT</t>
        </is>
      </c>
      <c r="E80" t="inlineStr">
        <is>
          <t>data/capital_signals/insider_forms.json</t>
        </is>
      </c>
    </row>
    <row r="81">
      <c r="A81" t="inlineStr">
        <is>
          <t>insider_form</t>
        </is>
      </c>
      <c r="B81" t="inlineStr">
        <is>
          <t>3</t>
        </is>
      </c>
      <c r="C81" t="inlineStr">
        <is>
          <t>2025-03-03</t>
        </is>
      </c>
      <c r="D81" t="inlineStr">
        <is>
          <t>PRIMARY DOCUMENT</t>
        </is>
      </c>
      <c r="E81" t="inlineStr">
        <is>
          <t>data/capital_signals/insider_forms.json</t>
        </is>
      </c>
    </row>
    <row r="82">
      <c r="A82" t="inlineStr">
        <is>
          <t>insider_form</t>
        </is>
      </c>
      <c r="B82" t="inlineStr">
        <is>
          <t>4</t>
        </is>
      </c>
      <c r="C82" t="inlineStr">
        <is>
          <t>2025-02-25</t>
        </is>
      </c>
      <c r="D82" t="inlineStr">
        <is>
          <t>PRIMARY DOCUMENT</t>
        </is>
      </c>
      <c r="E82" t="inlineStr">
        <is>
          <t>data/capital_signals/insider_forms.json</t>
        </is>
      </c>
    </row>
    <row r="83">
      <c r="A83" t="inlineStr">
        <is>
          <t>insider_form</t>
        </is>
      </c>
      <c r="B83" t="inlineStr">
        <is>
          <t>4</t>
        </is>
      </c>
      <c r="C83" t="inlineStr">
        <is>
          <t>2025-02-25</t>
        </is>
      </c>
      <c r="D83" t="inlineStr">
        <is>
          <t>PRIMARY DOCUMENT</t>
        </is>
      </c>
      <c r="E83" t="inlineStr">
        <is>
          <t>data/capital_signals/insider_forms.json</t>
        </is>
      </c>
    </row>
    <row r="84">
      <c r="A84" t="inlineStr">
        <is>
          <t>insider_form</t>
        </is>
      </c>
      <c r="B84" t="inlineStr">
        <is>
          <t>4</t>
        </is>
      </c>
      <c r="C84" t="inlineStr">
        <is>
          <t>2025-02-25</t>
        </is>
      </c>
      <c r="D84" t="inlineStr">
        <is>
          <t>PRIMARY DOCUMENT</t>
        </is>
      </c>
      <c r="E84" t="inlineStr">
        <is>
          <t>data/capital_signals/insider_forms.json</t>
        </is>
      </c>
    </row>
    <row r="85">
      <c r="A85" t="inlineStr">
        <is>
          <t>insider_form</t>
        </is>
      </c>
      <c r="B85" t="inlineStr">
        <is>
          <t>4</t>
        </is>
      </c>
      <c r="C85" t="inlineStr">
        <is>
          <t>2025-02-25</t>
        </is>
      </c>
      <c r="D85" t="inlineStr">
        <is>
          <t>PRIMARY DOCUMENT</t>
        </is>
      </c>
      <c r="E85" t="inlineStr">
        <is>
          <t>data/capital_signals/insider_forms.json</t>
        </is>
      </c>
    </row>
    <row r="86">
      <c r="A86" t="inlineStr">
        <is>
          <t>insider_form</t>
        </is>
      </c>
      <c r="B86" t="inlineStr">
        <is>
          <t>4</t>
        </is>
      </c>
      <c r="C86" t="inlineStr">
        <is>
          <t>2025-02-14</t>
        </is>
      </c>
      <c r="D86" t="inlineStr">
        <is>
          <t>PRIMARY DOCUMENT</t>
        </is>
      </c>
      <c r="E86" t="inlineStr">
        <is>
          <t>data/capital_signals/insider_forms.json</t>
        </is>
      </c>
    </row>
    <row r="87">
      <c r="A87" t="inlineStr">
        <is>
          <t>insider_form</t>
        </is>
      </c>
      <c r="B87" t="inlineStr">
        <is>
          <t>3</t>
        </is>
      </c>
      <c r="C87" t="inlineStr">
        <is>
          <t>2025-01-31</t>
        </is>
      </c>
      <c r="D87" t="inlineStr">
        <is>
          <t>PRIMARY DOCUMENT</t>
        </is>
      </c>
      <c r="E87" t="inlineStr">
        <is>
          <t>data/capital_signals/insider_forms.json</t>
        </is>
      </c>
    </row>
    <row r="88">
      <c r="A88" t="inlineStr">
        <is>
          <t>insider_form</t>
        </is>
      </c>
      <c r="B88" t="inlineStr">
        <is>
          <t>3</t>
        </is>
      </c>
      <c r="C88" t="inlineStr">
        <is>
          <t>2025-01-31</t>
        </is>
      </c>
      <c r="D88" t="inlineStr">
        <is>
          <t>PRIMARY DOCUMENT</t>
        </is>
      </c>
      <c r="E88" t="inlineStr">
        <is>
          <t>data/capital_signals/insider_forms.json</t>
        </is>
      </c>
    </row>
    <row r="89">
      <c r="A89" t="inlineStr">
        <is>
          <t>insider_form</t>
        </is>
      </c>
      <c r="B89" t="inlineStr">
        <is>
          <t>3</t>
        </is>
      </c>
      <c r="C89" t="inlineStr">
        <is>
          <t>2025-01-31</t>
        </is>
      </c>
      <c r="D89" t="inlineStr">
        <is>
          <t>PRIMARY DOCUMENT</t>
        </is>
      </c>
      <c r="E89" t="inlineStr">
        <is>
          <t>data/capital_signals/insider_forms.json</t>
        </is>
      </c>
    </row>
    <row r="90">
      <c r="A90" t="inlineStr">
        <is>
          <t>insider_form</t>
        </is>
      </c>
      <c r="B90" t="inlineStr">
        <is>
          <t>3</t>
        </is>
      </c>
      <c r="C90" t="inlineStr">
        <is>
          <t>2025-01-31</t>
        </is>
      </c>
      <c r="D90" t="inlineStr">
        <is>
          <t>PRIMARY DOCUMENT</t>
        </is>
      </c>
      <c r="E90" t="inlineStr">
        <is>
          <t>data/capital_signals/insider_forms.json</t>
        </is>
      </c>
    </row>
    <row r="91">
      <c r="A91" t="inlineStr">
        <is>
          <t>insider_form</t>
        </is>
      </c>
      <c r="B91" t="inlineStr">
        <is>
          <t>3</t>
        </is>
      </c>
      <c r="C91" t="inlineStr">
        <is>
          <t>2025-01-31</t>
        </is>
      </c>
      <c r="D91" t="inlineStr">
        <is>
          <t>PRIMARY DOCUMENT</t>
        </is>
      </c>
      <c r="E91" t="inlineStr">
        <is>
          <t>data/capital_signals/insider_forms.json</t>
        </is>
      </c>
    </row>
    <row r="92">
      <c r="A92" t="inlineStr">
        <is>
          <t>insider_form</t>
        </is>
      </c>
      <c r="B92" t="inlineStr">
        <is>
          <t>3</t>
        </is>
      </c>
      <c r="C92" t="inlineStr">
        <is>
          <t>2025-01-31</t>
        </is>
      </c>
      <c r="D92" t="inlineStr">
        <is>
          <t>PRIMARY DOCUMENT</t>
        </is>
      </c>
      <c r="E92" t="inlineStr">
        <is>
          <t>data/capital_signals/insider_forms.json</t>
        </is>
      </c>
    </row>
    <row r="93">
      <c r="A93" t="inlineStr">
        <is>
          <t>insider_form</t>
        </is>
      </c>
      <c r="B93" t="inlineStr">
        <is>
          <t>3</t>
        </is>
      </c>
      <c r="C93" t="inlineStr">
        <is>
          <t>2025-01-31</t>
        </is>
      </c>
      <c r="D93" t="inlineStr">
        <is>
          <t>PRIMARY DOCUMENT</t>
        </is>
      </c>
      <c r="E93" t="inlineStr">
        <is>
          <t>data/capital_signals/insider_forms.json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source</t>
        </is>
      </c>
      <c r="C1" s="1" t="inlineStr">
        <is>
          <t>status</t>
        </is>
      </c>
    </row>
    <row r="2">
      <c r="A2" t="inlineStr">
        <is>
          <t>revenue</t>
        </is>
      </c>
      <c r="B2" t="inlineStr">
        <is>
          <t>[{"tag": "RevenueFromContractWithCustomerExcludingAssessedTax", "form": "10-K", "fy": "2025", "fp": "FY", "filed": "2025-08-21", "end": "2025-06-27", "frame": "CY2024", "source": "sec_companyfacts.json", "selection_rule": "latest_period_with_quarter_duration_preference"}, {"tag": "RevenueFromContractWithCustomerExcludingAssessedTax", "form": "10-Q/A", "fy": "2025", "fp": "Q2", "filed": "2025-03-17", "end": "2023-12-29", "frame": "CY2023Q4", "source": "sec_companyfacts.json", "selection_rule": "l</t>
        </is>
      </c>
      <c r="C2" t="inlineStr">
        <is>
          <t>present</t>
        </is>
      </c>
    </row>
    <row r="3">
      <c r="A3" t="inlineStr">
        <is>
          <t>gross_profit</t>
        </is>
      </c>
      <c r="B3" t="inlineStr">
        <is>
          <t xml:space="preserve">[{"tag": "GrossProfit", "form": "10-K", "fy": "2025", "fp": "FY", "filed": "2025-08-21", "end": "2025-06-27", "frame": "CY2024", "source": "sec_companyfacts.json", "selection_rule": "latest_period_with_quarter_duration_preference"}, {"tag": "GrossProfit", "form": "10-Q/A", "fy": "2025", "fp": "Q2", "filed": "2025-03-17", "end": "2023-12-29", "frame": "CY2023Q4", "source": "sec_companyfacts.json", "selection_rule": "latest_period_with_quarter_duration_preference"}, {"tag": "GrossProfit", "form": </t>
        </is>
      </c>
      <c r="C3" t="inlineStr">
        <is>
          <t>present</t>
        </is>
      </c>
    </row>
    <row r="4">
      <c r="A4" t="inlineStr">
        <is>
          <t>operating_income</t>
        </is>
      </c>
      <c r="B4" t="inlineStr">
        <is>
          <t>[{"tag": "OperatingIncomeLoss", "form": "10-K", "fy": "2025", "fp": "FY", "filed": "2025-08-21", "end": "2025-06-27", "frame": "CY2024", "source": "sec_companyfacts.json", "selection_rule": "latest_period_with_quarter_duration_preference"}, {"tag": "OperatingIncomeLoss", "form": "10-Q/A", "fy": "2025", "fp": "Q2", "filed": "2025-03-17", "end": "2023-12-29", "frame": "CY2023Q4", "source": "sec_companyfacts.json", "selection_rule": "latest_period_with_quarter_duration_preference"}, {"tag": "Operat</t>
        </is>
      </c>
      <c r="C4" t="inlineStr">
        <is>
          <t>present</t>
        </is>
      </c>
    </row>
    <row r="5">
      <c r="A5" t="inlineStr">
        <is>
          <t>net_income</t>
        </is>
      </c>
      <c r="B5" t="inlineStr">
        <is>
          <t xml:space="preserve">[{"tag": "NetIncomeLoss", "form": "10-K", "fy": "2025", "fp": "FY", "filed": "2025-08-21", "end": "2025-06-27", "frame": "CY2024", "source": "sec_companyfacts.json", "selection_rule": "latest_period_with_quarter_duration_preference"}, {"tag": "NetIncomeLoss", "form": "10-Q/A", "fy": "2025", "fp": "Q2", "filed": "2025-03-17", "end": "2024-12-27", "frame": null, "source": "sec_companyfacts.json", "selection_rule": "latest_period_with_quarter_duration_preference"}, {"tag": "NetIncomeLoss", "form": </t>
        </is>
      </c>
      <c r="C5" t="inlineStr">
        <is>
          <t>present</t>
        </is>
      </c>
    </row>
    <row r="6">
      <c r="A6" t="inlineStr">
        <is>
          <t>operating_cash_flow</t>
        </is>
      </c>
      <c r="B6" t="inlineStr">
        <is>
          <t>[{"tag": "NetCashProvidedByUsedInOperatingActivities", "form": "10-K", "fy": "2025", "fp": "FY", "filed": "2025-08-21", "end": "2025-06-27", "frame": "CY2024", "source": "sec_companyfacts.json", "selection_rule": "latest_period_with_quarter_duration_preference"}, {"tag": "NetCashProvidedByUsedInOperatingActivities", "form": "10-Q/A", "fy": "2025", "fp": "Q2", "filed": "2025-03-17", "end": "2024-12-27", "frame": null, "source": "sec_companyfacts.json", "selection_rule": "latest_period_with_quarte</t>
        </is>
      </c>
      <c r="C6" t="inlineStr">
        <is>
          <t>present</t>
        </is>
      </c>
    </row>
    <row r="7">
      <c r="A7" t="inlineStr">
        <is>
          <t>capital_expenditures</t>
        </is>
      </c>
      <c r="B7" t="inlineStr">
        <is>
          <t>[{"tag": "PaymentsToAcquirePropertyPlantAndEquipment", "form": "10-K", "fy": "2025", "fp": "FY", "filed": "2025-08-21", "end": "2025-06-27", "frame": "CY2024", "source": "sec_companyfacts.json", "selection_rule": "latest_period_with_quarter_duration_preference"}, {"tag": "PaymentsToAcquirePropertyPlantAndEquipment", "form": "10-Q/A", "fy": "2025", "fp": "Q2", "filed": "2025-03-17", "end": "2024-12-27", "frame": null, "source": "sec_companyfacts.json", "selection_rule": "latest_period_with_quarte</t>
        </is>
      </c>
      <c r="C7" t="inlineStr">
        <is>
          <t>present</t>
        </is>
      </c>
    </row>
    <row r="8">
      <c r="A8" t="inlineStr">
        <is>
          <t>cash</t>
        </is>
      </c>
      <c r="B8" t="inlineStr">
        <is>
          <t>[{"tag": "CashAndCashEquivalentsAtCarryingValue", "form": "10-Q/A", "fy": "2025", "fp": "Q2", "filed": "2025-03-17", "end": "2024-12-27", "frame": "CY2024Q4I", "source": "sec_companyfacts.json", "selection_rule": "latest_period_with_quarter_duration_preference"}, {"tag": "CashAndCashEquivalentsAtCarryingValue", "form": "10-Q", "fy": "2025", "fp": "Q3", "filed": "2025-05-12", "end": "2025-03-28", "frame": "CY2025Q1I", "source": "sec_companyfacts.json", "selection_rule": "latest_period_with_quarte</t>
        </is>
      </c>
      <c r="C8" t="inlineStr">
        <is>
          <t>present</t>
        </is>
      </c>
    </row>
    <row r="9">
      <c r="A9" t="inlineStr">
        <is>
          <t>debt</t>
        </is>
      </c>
      <c r="B9" t="inlineStr">
        <is>
          <t>"data/statements/annual_statements.json"</t>
        </is>
      </c>
      <c r="C9" t="inlineStr">
        <is>
          <t>present</t>
        </is>
      </c>
    </row>
    <row r="10">
      <c r="A10" t="inlineStr">
        <is>
          <t>assets</t>
        </is>
      </c>
      <c r="B10" t="inlineStr">
        <is>
          <t>[{"tag": "Assets", "form": "10-Q/A", "fy": "2025", "fp": "Q2", "filed": "2025-03-17", "end": "2024-12-27", "frame": "CY2024Q4I", "source": "sec_companyfacts.json", "selection_rule": "latest_period_with_quarter_duration_preference"}, {"tag": "Assets", "form": "10-Q", "fy": "2025", "fp": "Q3", "filed": "2025-05-12", "end": "2025-03-28", "frame": "CY2025Q1I", "source": "sec_companyfacts.json", "selection_rule": "latest_period_with_quarter_duration_preference"}, {"tag": "Assets", "form": "10-K", "fy</t>
        </is>
      </c>
      <c r="C10" t="inlineStr">
        <is>
          <t>present</t>
        </is>
      </c>
    </row>
    <row r="11">
      <c r="A11" t="inlineStr">
        <is>
          <t>liabilities</t>
        </is>
      </c>
      <c r="B11" t="inlineStr">
        <is>
          <t>[{"tag": "Liabilities", "form": "10-Q/A", "fy": "2025", "fp": "Q2", "filed": "2025-03-17", "end": "2024-12-27", "frame": "CY2024Q4I", "source": "sec_companyfacts.json", "selection_rule": "latest_period_with_quarter_duration_preference"}, {"tag": "Liabilities", "form": "10-Q", "fy": "2025", "fp": "Q3", "filed": "2025-05-12", "end": "2025-03-28", "frame": "CY2025Q1I", "source": "sec_companyfacts.json", "selection_rule": "latest_period_with_quarter_duration_preference"}, {"tag": "Liabilities", "for</t>
        </is>
      </c>
      <c r="C11" t="inlineStr">
        <is>
          <t>present</t>
        </is>
      </c>
    </row>
    <row r="12">
      <c r="A12" t="inlineStr">
        <is>
          <t>stockholders_equity</t>
        </is>
      </c>
      <c r="B12" t="inlineStr">
        <is>
          <t>[{"tag": "StockholdersEquity", "form": "10-K", "fy": "2025", "fp": "FY", "filed": "2025-08-21", "end": "2025-06-27", "frame": null, "source": "sec_companyfacts.json", "selection_rule": "latest_period_with_quarter_duration_preference"}, {"tag": "StockholdersEquity", "form": "10-Q/A", "fy": "2025", "fp": "Q2", "filed": "2025-03-17", "end": "2024-12-27", "frame": null, "source": "sec_companyfacts.json", "selection_rule": "latest_period_with_quarter_duration_preference"}, {"tag": "StockholdersEquity</t>
        </is>
      </c>
      <c r="C12" t="inlineStr">
        <is>
          <t>present</t>
        </is>
      </c>
    </row>
    <row r="13">
      <c r="A13" t="inlineStr">
        <is>
          <t>shares_outstanding</t>
        </is>
      </c>
      <c r="B13" t="inlineStr">
        <is>
          <t>[{"tag": "WeightedAverageNumberOfDilutedSharesOutstanding", "form": "10-K", "fy": "2025", "fp": "FY", "filed": "2025-08-21", "end": "2025-06-27", "frame": "CY2024", "source": "sec_companyfacts.json", "selection_rule": "latest_period_with_quarter_duration_preference"}, {"tag": "WeightedAverageNumberOfDilutedSharesOutstanding", "form": "10-Q", "fy": "2025", "fp": "Q3", "filed": "2025-05-12", "end": "2025-03-28", "frame": "CY2025Q1", "source": "sec_companyfacts.json", "selection_rule": "latest_peri</t>
        </is>
      </c>
      <c r="C13" t="inlineStr">
        <is>
          <t>present</t>
        </is>
      </c>
    </row>
    <row r="14">
      <c r="A14" t="inlineStr">
        <is>
          <t>market_data</t>
        </is>
      </c>
      <c r="B14" t="inlineStr">
        <is>
          <t>data/market_data/price_history.csv</t>
        </is>
      </c>
      <c r="C14" t="inlineStr">
        <is>
          <t>present</t>
        </is>
      </c>
    </row>
    <row r="15">
      <c r="A15" t="inlineStr">
        <is>
          <t>valuation</t>
        </is>
      </c>
      <c r="B15" t="inlineStr">
        <is>
          <t>data/valuation/valuation_snapshot.json</t>
        </is>
      </c>
      <c r="C15" t="inlineStr">
        <is>
          <t>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34" customWidth="1" min="4" max="4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description</t>
        </is>
      </c>
    </row>
    <row r="2">
      <c r="A2" t="inlineStr">
        <is>
          <t>revenue_growth</t>
        </is>
      </c>
      <c r="B2" t="n">
        <v>0.05</v>
      </c>
      <c r="C2" t="inlineStr">
        <is>
          <t>auto_default</t>
        </is>
      </c>
      <c r="D2" t="inlineStr">
        <is>
          <t>Base forecast revenue growth</t>
        </is>
      </c>
    </row>
    <row r="3">
      <c r="A3" t="inlineStr">
        <is>
          <t>operating_margin</t>
        </is>
      </c>
      <c r="B3" t="n">
        <v>0.12</v>
      </c>
      <c r="C3" t="inlineStr">
        <is>
          <t>auto_default</t>
        </is>
      </c>
      <c r="D3" t="inlineStr">
        <is>
          <t>Base forecast operating margin</t>
        </is>
      </c>
    </row>
    <row r="4">
      <c r="A4" t="inlineStr">
        <is>
          <t>tax_rate</t>
        </is>
      </c>
      <c r="B4" t="n">
        <v>0.21</v>
      </c>
      <c r="C4" t="inlineStr">
        <is>
          <t>auto_default</t>
        </is>
      </c>
      <c r="D4" t="inlineStr">
        <is>
          <t>Cash tax rate</t>
        </is>
      </c>
    </row>
    <row r="5">
      <c r="A5" t="inlineStr">
        <is>
          <t>da_percent_revenue</t>
        </is>
      </c>
      <c r="B5" t="n">
        <v>0.04</v>
      </c>
      <c r="C5" t="inlineStr">
        <is>
          <t>auto_default</t>
        </is>
      </c>
      <c r="D5" t="inlineStr">
        <is>
          <t>D&amp;A as % of revenue</t>
        </is>
      </c>
    </row>
    <row r="6">
      <c r="A6" t="inlineStr">
        <is>
          <t>capex_percent_revenue</t>
        </is>
      </c>
      <c r="B6" t="n">
        <v>0.08</v>
      </c>
      <c r="C6" t="inlineStr">
        <is>
          <t>auto_default</t>
        </is>
      </c>
      <c r="D6" t="inlineStr">
        <is>
          <t>Capital expenditure as % of revenue</t>
        </is>
      </c>
    </row>
    <row r="7">
      <c r="A7" t="inlineStr">
        <is>
          <t>nwc_percent_revenue</t>
        </is>
      </c>
      <c r="B7" t="n">
        <v>0.02</v>
      </c>
      <c r="C7" t="inlineStr">
        <is>
          <t>auto_default</t>
        </is>
      </c>
      <c r="D7" t="inlineStr">
        <is>
          <t>Change in working capital as % of revenue</t>
        </is>
      </c>
    </row>
    <row r="8">
      <c r="A8" t="inlineStr">
        <is>
          <t>wacc</t>
        </is>
      </c>
      <c r="B8" t="n">
        <v>0.1</v>
      </c>
      <c r="C8" t="inlineStr">
        <is>
          <t>auto_default</t>
        </is>
      </c>
      <c r="D8" t="inlineStr">
        <is>
          <t>Weighted average cost of capital</t>
        </is>
      </c>
    </row>
    <row r="9">
      <c r="A9" t="inlineStr">
        <is>
          <t>terminal_growth</t>
        </is>
      </c>
      <c r="B9" t="n">
        <v>0.03</v>
      </c>
      <c r="C9" t="inlineStr">
        <is>
          <t>auto_default</t>
        </is>
      </c>
      <c r="D9" t="inlineStr">
        <is>
          <t>Terminal growth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2026-04-25T15:16:03Z</dcterms:created>
  <dcterms:modified xmlns:dcterms="http://purl.org/dc/terms/" xmlns:xsi="http://www.w3.org/2001/XMLSchema-instance" xsi:type="dcterms:W3CDTF">2026-04-25T15:16:03Z</dcterms:modified>
</cp:coreProperties>
</file>